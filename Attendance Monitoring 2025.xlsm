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codeName="ThisWorkbook" defaultThemeVersion="124226"/>
  <mc:AlternateContent xmlns:mc="http://schemas.openxmlformats.org/markup-compatibility/2006">
    <mc:Choice Requires="x15">
      <x15ac:absPath xmlns:x15ac="http://schemas.microsoft.com/office/spreadsheetml/2010/11/ac" url="J:\Admin\HR\LeonEmalyn\Ems-Workload\"/>
    </mc:Choice>
  </mc:AlternateContent>
  <xr:revisionPtr revIDLastSave="0" documentId="13_ncr:1_{EA325C8E-D5B3-4009-BFA7-4129AAA3A261}" xr6:coauthVersionLast="47" xr6:coauthVersionMax="47" xr10:uidLastSave="{00000000-0000-0000-0000-000000000000}"/>
  <bookViews>
    <workbookView xWindow="-120" yWindow="-120" windowWidth="29040" windowHeight="15840" xr2:uid="{00000000-000D-0000-FFFF-FFFF00000000}"/>
  </bookViews>
  <sheets>
    <sheet name="Beef Boning" sheetId="8" r:id="rId1"/>
    <sheet name="Holidays" sheetId="9" state="hidden" r:id="rId2"/>
    <sheet name="FAQs" sheetId="10" state="hidden" r:id="rId3"/>
    <sheet name="Lamb Boning" sheetId="11" r:id="rId4"/>
    <sheet name="Kill Floor" sheetId="12" r:id="rId5"/>
    <sheet name="Sheet3" sheetId="5" state="hidden" r:id="rId6"/>
  </sheets>
  <externalReferences>
    <externalReference r:id="rId7"/>
  </externalReferences>
  <definedNames>
    <definedName name="HolidayListNamedRange" localSheetId="2">[1]!HolidayList[Date]</definedName>
    <definedName name="HolidayListNamedRange" localSheetId="4">HolidayList[Date]</definedName>
    <definedName name="HolidayListNamedRange" localSheetId="3">HolidayList[Date]</definedName>
    <definedName name="HolidayListNamedRange">HolidayList[Date]</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41547.3902083333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V6" i="12" l="1"/>
  <c r="HV4" i="12" s="1"/>
  <c r="NJ5" i="12"/>
  <c r="NJ6" i="12" s="1"/>
  <c r="NJ4" i="12" s="1"/>
  <c r="NI5" i="12"/>
  <c r="NI6" i="12" s="1"/>
  <c r="NI4" i="12" s="1"/>
  <c r="NH5" i="12"/>
  <c r="NH6" i="12" s="1"/>
  <c r="NH4" i="12" s="1"/>
  <c r="NG5" i="12"/>
  <c r="NG6" i="12" s="1"/>
  <c r="NG4" i="12" s="1"/>
  <c r="NF5" i="12"/>
  <c r="NF6" i="12" s="1"/>
  <c r="NF4" i="12" s="1"/>
  <c r="NE5" i="12"/>
  <c r="NE6" i="12" s="1"/>
  <c r="NE4" i="12" s="1"/>
  <c r="ND5" i="12"/>
  <c r="ND6" i="12" s="1"/>
  <c r="NC5" i="12"/>
  <c r="NC6" i="12" s="1"/>
  <c r="NC4" i="12" s="1"/>
  <c r="NB5" i="12"/>
  <c r="NB6" i="12" s="1"/>
  <c r="NB4" i="12" s="1"/>
  <c r="NA5" i="12"/>
  <c r="NA6" i="12" s="1"/>
  <c r="NA4" i="12" s="1"/>
  <c r="MZ5" i="12"/>
  <c r="MZ6" i="12" s="1"/>
  <c r="MZ4" i="12" s="1"/>
  <c r="MY5" i="12"/>
  <c r="MY6" i="12" s="1"/>
  <c r="MY4" i="12" s="1"/>
  <c r="MX5" i="12"/>
  <c r="MX6" i="12" s="1"/>
  <c r="MW5" i="12"/>
  <c r="MW6" i="12" s="1"/>
  <c r="MW4" i="12" s="1"/>
  <c r="MV5" i="12"/>
  <c r="MV6" i="12" s="1"/>
  <c r="MU5" i="12"/>
  <c r="MU6" i="12" s="1"/>
  <c r="MU4" i="12" s="1"/>
  <c r="MT5" i="12"/>
  <c r="MT6" i="12" s="1"/>
  <c r="MT4" i="12" s="1"/>
  <c r="MS5" i="12"/>
  <c r="MS6" i="12" s="1"/>
  <c r="MR5" i="12"/>
  <c r="MR6" i="12" s="1"/>
  <c r="MR4" i="12" s="1"/>
  <c r="MQ5" i="12"/>
  <c r="MQ6" i="12" s="1"/>
  <c r="MQ4" i="12" s="1"/>
  <c r="MP5" i="12"/>
  <c r="MP6" i="12" s="1"/>
  <c r="MP4" i="12" s="1"/>
  <c r="MO5" i="12"/>
  <c r="MO6" i="12" s="1"/>
  <c r="MO4" i="12" s="1"/>
  <c r="MN5" i="12"/>
  <c r="MN6" i="12" s="1"/>
  <c r="MN4" i="12" s="1"/>
  <c r="MM5" i="12"/>
  <c r="MM6" i="12" s="1"/>
  <c r="MM4" i="12" s="1"/>
  <c r="ML5" i="12"/>
  <c r="ML6" i="12" s="1"/>
  <c r="ML4" i="12" s="1"/>
  <c r="MK5" i="12"/>
  <c r="MK6" i="12" s="1"/>
  <c r="MK4" i="12" s="1"/>
  <c r="MJ5" i="12"/>
  <c r="MJ6" i="12" s="1"/>
  <c r="MJ4" i="12" s="1"/>
  <c r="MI5" i="12"/>
  <c r="MI6" i="12" s="1"/>
  <c r="MI4" i="12" s="1"/>
  <c r="MH5" i="12"/>
  <c r="MH6" i="12" s="1"/>
  <c r="MH4" i="12" s="1"/>
  <c r="MG5" i="12"/>
  <c r="MG6" i="12" s="1"/>
  <c r="MG4" i="12" s="1"/>
  <c r="MF5" i="12"/>
  <c r="MF6" i="12" s="1"/>
  <c r="ME5" i="12"/>
  <c r="ME6" i="12" s="1"/>
  <c r="ME4" i="12" s="1"/>
  <c r="MD5" i="12"/>
  <c r="MD6" i="12" s="1"/>
  <c r="MD4" i="12" s="1"/>
  <c r="MC5" i="12"/>
  <c r="MC6" i="12" s="1"/>
  <c r="MB5" i="12"/>
  <c r="MB6" i="12" s="1"/>
  <c r="MB4" i="12" s="1"/>
  <c r="MA5" i="12"/>
  <c r="MA6" i="12" s="1"/>
  <c r="MA4" i="12" s="1"/>
  <c r="LZ5" i="12"/>
  <c r="LZ6" i="12" s="1"/>
  <c r="LZ4" i="12" s="1"/>
  <c r="LY5" i="12"/>
  <c r="LY6" i="12" s="1"/>
  <c r="LY4" i="12" s="1"/>
  <c r="LX5" i="12"/>
  <c r="LX6" i="12" s="1"/>
  <c r="LX4" i="12" s="1"/>
  <c r="LW5" i="12"/>
  <c r="LW6" i="12" s="1"/>
  <c r="LW4" i="12" s="1"/>
  <c r="LV5" i="12"/>
  <c r="LV6" i="12" s="1"/>
  <c r="LV4" i="12" s="1"/>
  <c r="LU5" i="12"/>
  <c r="LU6" i="12" s="1"/>
  <c r="LU4" i="12" s="1"/>
  <c r="LT5" i="12"/>
  <c r="LT6" i="12" s="1"/>
  <c r="LS5" i="12"/>
  <c r="LS6" i="12" s="1"/>
  <c r="LS4" i="12" s="1"/>
  <c r="LR5" i="12"/>
  <c r="LR6" i="12" s="1"/>
  <c r="LQ5" i="12"/>
  <c r="LQ6" i="12" s="1"/>
  <c r="LQ4" i="12" s="1"/>
  <c r="LP5" i="12"/>
  <c r="LP6" i="12" s="1"/>
  <c r="LP4" i="12" s="1"/>
  <c r="LO5" i="12"/>
  <c r="LO6" i="12" s="1"/>
  <c r="LO4" i="12" s="1"/>
  <c r="LN5" i="12"/>
  <c r="LN6" i="12" s="1"/>
  <c r="LM5" i="12"/>
  <c r="LM6" i="12" s="1"/>
  <c r="LM4" i="12" s="1"/>
  <c r="LL5" i="12"/>
  <c r="LL6" i="12" s="1"/>
  <c r="LL4" i="12" s="1"/>
  <c r="LK5" i="12"/>
  <c r="LK6" i="12" s="1"/>
  <c r="LK4" i="12" s="1"/>
  <c r="LJ5" i="12"/>
  <c r="LJ6" i="12" s="1"/>
  <c r="LJ4" i="12" s="1"/>
  <c r="LI5" i="12"/>
  <c r="LI6" i="12" s="1"/>
  <c r="LI4" i="12" s="1"/>
  <c r="LH5" i="12"/>
  <c r="LH6" i="12" s="1"/>
  <c r="LG5" i="12"/>
  <c r="LG6" i="12" s="1"/>
  <c r="LG4" i="12" s="1"/>
  <c r="LF5" i="12"/>
  <c r="LF6" i="12" s="1"/>
  <c r="LF4" i="12" s="1"/>
  <c r="LE5" i="12"/>
  <c r="LE6" i="12" s="1"/>
  <c r="LE4" i="12" s="1"/>
  <c r="LD5" i="12"/>
  <c r="LD6" i="12" s="1"/>
  <c r="LD4" i="12" s="1"/>
  <c r="LC5" i="12"/>
  <c r="LC6" i="12" s="1"/>
  <c r="LC4" i="12" s="1"/>
  <c r="LB5" i="12"/>
  <c r="LB6" i="12" s="1"/>
  <c r="LA5" i="12"/>
  <c r="LA6" i="12" s="1"/>
  <c r="LA4" i="12" s="1"/>
  <c r="KZ5" i="12"/>
  <c r="KZ6" i="12" s="1"/>
  <c r="KZ4" i="12" s="1"/>
  <c r="KY5" i="12"/>
  <c r="KY6" i="12" s="1"/>
  <c r="KY4" i="12" s="1"/>
  <c r="KX5" i="12"/>
  <c r="KX6" i="12" s="1"/>
  <c r="KX4" i="12" s="1"/>
  <c r="KW5" i="12"/>
  <c r="KW6" i="12" s="1"/>
  <c r="KW4" i="12" s="1"/>
  <c r="KV5" i="12"/>
  <c r="KV6" i="12" s="1"/>
  <c r="KV4" i="12" s="1"/>
  <c r="KU5" i="12"/>
  <c r="KU6" i="12" s="1"/>
  <c r="KU4" i="12" s="1"/>
  <c r="KT5" i="12"/>
  <c r="KT6" i="12" s="1"/>
  <c r="KT4" i="12" s="1"/>
  <c r="KS5" i="12"/>
  <c r="KS6" i="12" s="1"/>
  <c r="KS4" i="12" s="1"/>
  <c r="KR5" i="12"/>
  <c r="KR6" i="12" s="1"/>
  <c r="KR4" i="12" s="1"/>
  <c r="KQ5" i="12"/>
  <c r="KQ6" i="12" s="1"/>
  <c r="KQ4" i="12" s="1"/>
  <c r="KP5" i="12"/>
  <c r="KP6" i="12" s="1"/>
  <c r="KP4" i="12" s="1"/>
  <c r="KO5" i="12"/>
  <c r="KO6" i="12" s="1"/>
  <c r="KO4" i="12" s="1"/>
  <c r="KN5" i="12"/>
  <c r="KN6" i="12" s="1"/>
  <c r="KN4" i="12" s="1"/>
  <c r="KM5" i="12"/>
  <c r="KM6" i="12" s="1"/>
  <c r="KM4" i="12" s="1"/>
  <c r="KL5" i="12"/>
  <c r="KL6" i="12" s="1"/>
  <c r="KL4" i="12" s="1"/>
  <c r="KK5" i="12"/>
  <c r="KK6" i="12" s="1"/>
  <c r="KK4" i="12" s="1"/>
  <c r="KJ5" i="12"/>
  <c r="KJ6" i="12" s="1"/>
  <c r="KJ4" i="12" s="1"/>
  <c r="KI5" i="12"/>
  <c r="KI6" i="12" s="1"/>
  <c r="KI4" i="12" s="1"/>
  <c r="KH5" i="12"/>
  <c r="KH6" i="12" s="1"/>
  <c r="KH4" i="12" s="1"/>
  <c r="KG5" i="12"/>
  <c r="KG6" i="12" s="1"/>
  <c r="KG4" i="12" s="1"/>
  <c r="KF5" i="12"/>
  <c r="KF6" i="12" s="1"/>
  <c r="KF4" i="12" s="1"/>
  <c r="KE5" i="12"/>
  <c r="KE6" i="12" s="1"/>
  <c r="KE4" i="12" s="1"/>
  <c r="KD5" i="12"/>
  <c r="KD6" i="12" s="1"/>
  <c r="KD4" i="12" s="1"/>
  <c r="KC5" i="12"/>
  <c r="KC6" i="12" s="1"/>
  <c r="KC4" i="12" s="1"/>
  <c r="KB5" i="12"/>
  <c r="KB6" i="12" s="1"/>
  <c r="KA5" i="12"/>
  <c r="KA6" i="12" s="1"/>
  <c r="KA4" i="12" s="1"/>
  <c r="JZ5" i="12"/>
  <c r="JZ6" i="12" s="1"/>
  <c r="JZ4" i="12" s="1"/>
  <c r="JY5" i="12"/>
  <c r="JY6" i="12" s="1"/>
  <c r="JY4" i="12" s="1"/>
  <c r="JX5" i="12"/>
  <c r="JX6" i="12" s="1"/>
  <c r="JX4" i="12" s="1"/>
  <c r="JW5" i="12"/>
  <c r="JW6" i="12" s="1"/>
  <c r="JW4" i="12" s="1"/>
  <c r="JV5" i="12"/>
  <c r="JV6" i="12" s="1"/>
  <c r="JU5" i="12"/>
  <c r="JU6" i="12" s="1"/>
  <c r="JU4" i="12" s="1"/>
  <c r="JT5" i="12"/>
  <c r="JT6" i="12" s="1"/>
  <c r="JT4" i="12" s="1"/>
  <c r="JS5" i="12"/>
  <c r="JS6" i="12" s="1"/>
  <c r="JS4" i="12" s="1"/>
  <c r="JR5" i="12"/>
  <c r="JR6" i="12" s="1"/>
  <c r="JR4" i="12" s="1"/>
  <c r="JQ5" i="12"/>
  <c r="JQ6" i="12" s="1"/>
  <c r="JQ4" i="12" s="1"/>
  <c r="JP5" i="12"/>
  <c r="JP6" i="12" s="1"/>
  <c r="JP4" i="12" s="1"/>
  <c r="JO5" i="12"/>
  <c r="JO6" i="12" s="1"/>
  <c r="JO4" i="12" s="1"/>
  <c r="JN5" i="12"/>
  <c r="JN6" i="12" s="1"/>
  <c r="JN4" i="12" s="1"/>
  <c r="JM5" i="12"/>
  <c r="JM6" i="12" s="1"/>
  <c r="JM4" i="12" s="1"/>
  <c r="JL5" i="12"/>
  <c r="JL6" i="12" s="1"/>
  <c r="JK5" i="12"/>
  <c r="JK6" i="12" s="1"/>
  <c r="JK4" i="12" s="1"/>
  <c r="JJ5" i="12"/>
  <c r="JJ6" i="12" s="1"/>
  <c r="JJ4" i="12" s="1"/>
  <c r="JI5" i="12"/>
  <c r="JI6" i="12" s="1"/>
  <c r="JI4" i="12" s="1"/>
  <c r="JH5" i="12"/>
  <c r="JH6" i="12" s="1"/>
  <c r="JH4" i="12" s="1"/>
  <c r="JG5" i="12"/>
  <c r="JG6" i="12" s="1"/>
  <c r="JG4" i="12" s="1"/>
  <c r="JF5" i="12"/>
  <c r="JF6" i="12" s="1"/>
  <c r="JE5" i="12"/>
  <c r="JE6" i="12" s="1"/>
  <c r="JE4" i="12" s="1"/>
  <c r="JD5" i="12"/>
  <c r="JD6" i="12" s="1"/>
  <c r="JD4" i="12" s="1"/>
  <c r="JC5" i="12"/>
  <c r="JC6" i="12" s="1"/>
  <c r="JC4" i="12" s="1"/>
  <c r="JB5" i="12"/>
  <c r="JB6" i="12" s="1"/>
  <c r="JB4" i="12" s="1"/>
  <c r="JA5" i="12"/>
  <c r="JA6" i="12" s="1"/>
  <c r="JA4" i="12" s="1"/>
  <c r="IZ5" i="12"/>
  <c r="IZ6" i="12" s="1"/>
  <c r="IZ4" i="12" s="1"/>
  <c r="IY5" i="12"/>
  <c r="IY6" i="12" s="1"/>
  <c r="IY4" i="12" s="1"/>
  <c r="IX5" i="12"/>
  <c r="IX6" i="12" s="1"/>
  <c r="IX4" i="12" s="1"/>
  <c r="IW5" i="12"/>
  <c r="IW6" i="12" s="1"/>
  <c r="IW4" i="12" s="1"/>
  <c r="IV5" i="12"/>
  <c r="IV6" i="12" s="1"/>
  <c r="IV4" i="12" s="1"/>
  <c r="IU5" i="12"/>
  <c r="IU6" i="12" s="1"/>
  <c r="IU4" i="12" s="1"/>
  <c r="IT5" i="12"/>
  <c r="IT6" i="12" s="1"/>
  <c r="IT4" i="12" s="1"/>
  <c r="IS5" i="12"/>
  <c r="IS6" i="12" s="1"/>
  <c r="IS4" i="12" s="1"/>
  <c r="IR5" i="12"/>
  <c r="IR6" i="12" s="1"/>
  <c r="IR4" i="12" s="1"/>
  <c r="IQ5" i="12"/>
  <c r="IQ6" i="12" s="1"/>
  <c r="IQ4" i="12" s="1"/>
  <c r="IP5" i="12"/>
  <c r="IP6" i="12" s="1"/>
  <c r="IO5" i="12"/>
  <c r="IO6" i="12" s="1"/>
  <c r="IO4" i="12" s="1"/>
  <c r="IN5" i="12"/>
  <c r="IN6" i="12" s="1"/>
  <c r="IN4" i="12" s="1"/>
  <c r="IM5" i="12"/>
  <c r="IM6" i="12" s="1"/>
  <c r="IM4" i="12" s="1"/>
  <c r="IL5" i="12"/>
  <c r="IL6" i="12" s="1"/>
  <c r="IK5" i="12"/>
  <c r="IK6" i="12" s="1"/>
  <c r="IK4" i="12" s="1"/>
  <c r="IJ5" i="12"/>
  <c r="IJ6" i="12" s="1"/>
  <c r="IJ4" i="12" s="1"/>
  <c r="II5" i="12"/>
  <c r="II6" i="12" s="1"/>
  <c r="IH5" i="12"/>
  <c r="IH6" i="12" s="1"/>
  <c r="IH4" i="12" s="1"/>
  <c r="IG5" i="12"/>
  <c r="IG6" i="12" s="1"/>
  <c r="IG4" i="12" s="1"/>
  <c r="IF5" i="12"/>
  <c r="IF6" i="12" s="1"/>
  <c r="IE5" i="12"/>
  <c r="IE6" i="12" s="1"/>
  <c r="IE4" i="12" s="1"/>
  <c r="ID5" i="12"/>
  <c r="ID6" i="12" s="1"/>
  <c r="ID4" i="12" s="1"/>
  <c r="IC5" i="12"/>
  <c r="IC6" i="12" s="1"/>
  <c r="IC4" i="12" s="1"/>
  <c r="IB5" i="12"/>
  <c r="IB6" i="12" s="1"/>
  <c r="IB4" i="12" s="1"/>
  <c r="IA5" i="12"/>
  <c r="IA6" i="12" s="1"/>
  <c r="HZ5" i="12"/>
  <c r="HZ6" i="12" s="1"/>
  <c r="HY5" i="12"/>
  <c r="HY6" i="12" s="1"/>
  <c r="HY4" i="12" s="1"/>
  <c r="HX5" i="12"/>
  <c r="HX6" i="12" s="1"/>
  <c r="HX4" i="12" s="1"/>
  <c r="HW5" i="12"/>
  <c r="HW6" i="12" s="1"/>
  <c r="HW4" i="12" s="1"/>
  <c r="HV5" i="12"/>
  <c r="HU5" i="12"/>
  <c r="HU6" i="12" s="1"/>
  <c r="HU4" i="12" s="1"/>
  <c r="HT5" i="12"/>
  <c r="HT6" i="12" s="1"/>
  <c r="HT4" i="12" s="1"/>
  <c r="HS5" i="12"/>
  <c r="HS6" i="12" s="1"/>
  <c r="HR5" i="12"/>
  <c r="HR6" i="12" s="1"/>
  <c r="HR4" i="12" s="1"/>
  <c r="HQ5" i="12"/>
  <c r="HQ6" i="12" s="1"/>
  <c r="HQ4" i="12" s="1"/>
  <c r="HP5" i="12"/>
  <c r="HP6" i="12" s="1"/>
  <c r="HO5" i="12"/>
  <c r="HO6" i="12" s="1"/>
  <c r="HO4" i="12" s="1"/>
  <c r="HN5" i="12"/>
  <c r="HN6" i="12" s="1"/>
  <c r="HN4" i="12" s="1"/>
  <c r="HM5" i="12"/>
  <c r="HM6" i="12" s="1"/>
  <c r="HM4" i="12" s="1"/>
  <c r="HL5" i="12"/>
  <c r="HL6" i="12" s="1"/>
  <c r="HL4" i="12" s="1"/>
  <c r="HK5" i="12"/>
  <c r="HK6" i="12" s="1"/>
  <c r="HJ5" i="12"/>
  <c r="HJ6" i="12" s="1"/>
  <c r="HI5" i="12"/>
  <c r="HI6" i="12" s="1"/>
  <c r="HI4" i="12" s="1"/>
  <c r="HH5" i="12"/>
  <c r="HH6" i="12" s="1"/>
  <c r="HH4" i="12" s="1"/>
  <c r="HG5" i="12"/>
  <c r="HG6" i="12" s="1"/>
  <c r="HG4" i="12" s="1"/>
  <c r="HF5" i="12"/>
  <c r="HF6" i="12" s="1"/>
  <c r="HF4" i="12" s="1"/>
  <c r="HE5" i="12"/>
  <c r="HE6" i="12" s="1"/>
  <c r="HE4" i="12" s="1"/>
  <c r="HD5" i="12"/>
  <c r="HD6" i="12" s="1"/>
  <c r="HD4" i="12" s="1"/>
  <c r="HC5" i="12"/>
  <c r="HC6" i="12" s="1"/>
  <c r="HC4" i="12" s="1"/>
  <c r="HB5" i="12"/>
  <c r="HB6" i="12" s="1"/>
  <c r="HA5" i="12"/>
  <c r="HA6" i="12" s="1"/>
  <c r="HA4" i="12" s="1"/>
  <c r="GZ5" i="12"/>
  <c r="GZ6" i="12" s="1"/>
  <c r="GZ4" i="12" s="1"/>
  <c r="GY5" i="12"/>
  <c r="GY6" i="12" s="1"/>
  <c r="GY4" i="12" s="1"/>
  <c r="GX5" i="12"/>
  <c r="GX6" i="12" s="1"/>
  <c r="GW5" i="12"/>
  <c r="GW6" i="12" s="1"/>
  <c r="GW4" i="12" s="1"/>
  <c r="GV5" i="12"/>
  <c r="GV6" i="12" s="1"/>
  <c r="GV4" i="12" s="1"/>
  <c r="GU5" i="12"/>
  <c r="GU6" i="12" s="1"/>
  <c r="GT5" i="12"/>
  <c r="GT6" i="12" s="1"/>
  <c r="GT4" i="12" s="1"/>
  <c r="GS5" i="12"/>
  <c r="GS6" i="12" s="1"/>
  <c r="GS4" i="12" s="1"/>
  <c r="GR5" i="12"/>
  <c r="GR6" i="12" s="1"/>
  <c r="GR4" i="12" s="1"/>
  <c r="GQ5" i="12"/>
  <c r="GQ6" i="12" s="1"/>
  <c r="GQ4" i="12" s="1"/>
  <c r="GP5" i="12"/>
  <c r="GP6" i="12" s="1"/>
  <c r="GO5" i="12"/>
  <c r="GO6" i="12" s="1"/>
  <c r="GO4" i="12" s="1"/>
  <c r="GN5" i="12"/>
  <c r="GN6" i="12" s="1"/>
  <c r="GN4" i="12" s="1"/>
  <c r="GM5" i="12"/>
  <c r="GM6" i="12" s="1"/>
  <c r="GL5" i="12"/>
  <c r="GL6" i="12" s="1"/>
  <c r="GL4" i="12" s="1"/>
  <c r="GK5" i="12"/>
  <c r="GK6" i="12" s="1"/>
  <c r="GK4" i="12" s="1"/>
  <c r="GJ5" i="12"/>
  <c r="GJ6" i="12" s="1"/>
  <c r="GI5" i="12"/>
  <c r="GI6" i="12" s="1"/>
  <c r="GI4" i="12" s="1"/>
  <c r="GH5" i="12"/>
  <c r="GH6" i="12" s="1"/>
  <c r="GH4" i="12" s="1"/>
  <c r="GG5" i="12"/>
  <c r="GG6" i="12" s="1"/>
  <c r="GG4" i="12" s="1"/>
  <c r="GF5" i="12"/>
  <c r="GF6" i="12" s="1"/>
  <c r="GF4" i="12" s="1"/>
  <c r="GE5" i="12"/>
  <c r="GE6" i="12" s="1"/>
  <c r="GE4" i="12" s="1"/>
  <c r="GD5" i="12"/>
  <c r="GD6" i="12" s="1"/>
  <c r="GC5" i="12"/>
  <c r="GC6" i="12" s="1"/>
  <c r="GC4" i="12" s="1"/>
  <c r="GB5" i="12"/>
  <c r="GB6" i="12" s="1"/>
  <c r="GB4" i="12" s="1"/>
  <c r="GA5" i="12"/>
  <c r="GA6" i="12" s="1"/>
  <c r="GA4" i="12" s="1"/>
  <c r="FZ5" i="12"/>
  <c r="FZ6" i="12" s="1"/>
  <c r="FY5" i="12"/>
  <c r="FY6" i="12" s="1"/>
  <c r="FY4" i="12" s="1"/>
  <c r="FX5" i="12"/>
  <c r="FX6" i="12" s="1"/>
  <c r="FX4" i="12" s="1"/>
  <c r="FW5" i="12"/>
  <c r="FW6" i="12" s="1"/>
  <c r="FW4" i="12" s="1"/>
  <c r="FV5" i="12"/>
  <c r="FV6" i="12" s="1"/>
  <c r="FV4" i="12" s="1"/>
  <c r="FU5" i="12"/>
  <c r="FU6" i="12" s="1"/>
  <c r="FU4" i="12" s="1"/>
  <c r="FT5" i="12"/>
  <c r="FT6" i="12" s="1"/>
  <c r="FS5" i="12"/>
  <c r="FS6" i="12" s="1"/>
  <c r="FS4" i="12" s="1"/>
  <c r="FR5" i="12"/>
  <c r="FR6" i="12" s="1"/>
  <c r="FQ5" i="12"/>
  <c r="FQ6" i="12" s="1"/>
  <c r="FQ4" i="12" s="1"/>
  <c r="FP5" i="12"/>
  <c r="FP6" i="12" s="1"/>
  <c r="FP4" i="12" s="1"/>
  <c r="FO5" i="12"/>
  <c r="FO6" i="12" s="1"/>
  <c r="FO4" i="12" s="1"/>
  <c r="FN5" i="12"/>
  <c r="FN6" i="12" s="1"/>
  <c r="FM5" i="12"/>
  <c r="FM6" i="12" s="1"/>
  <c r="FM4" i="12" s="1"/>
  <c r="FL5" i="12"/>
  <c r="FL6" i="12" s="1"/>
  <c r="FL4" i="12" s="1"/>
  <c r="FK5" i="12"/>
  <c r="FK6" i="12" s="1"/>
  <c r="FK4" i="12" s="1"/>
  <c r="FJ5" i="12"/>
  <c r="FJ6" i="12" s="1"/>
  <c r="FJ4" i="12" s="1"/>
  <c r="FI5" i="12"/>
  <c r="FI6" i="12" s="1"/>
  <c r="FI4" i="12" s="1"/>
  <c r="FH5" i="12"/>
  <c r="FH6" i="12" s="1"/>
  <c r="FH4" i="12" s="1"/>
  <c r="FG5" i="12"/>
  <c r="FG6" i="12" s="1"/>
  <c r="FG4" i="12" s="1"/>
  <c r="FF5" i="12"/>
  <c r="FF6" i="12" s="1"/>
  <c r="FE5" i="12"/>
  <c r="FE6" i="12" s="1"/>
  <c r="FE4" i="12" s="1"/>
  <c r="FD5" i="12"/>
  <c r="FD6" i="12" s="1"/>
  <c r="FD4" i="12" s="1"/>
  <c r="FC5" i="12"/>
  <c r="FC6" i="12" s="1"/>
  <c r="FB5" i="12"/>
  <c r="FB6" i="12" s="1"/>
  <c r="FB4" i="12" s="1"/>
  <c r="FA5" i="12"/>
  <c r="FA6" i="12" s="1"/>
  <c r="FA4" i="12" s="1"/>
  <c r="EZ5" i="12"/>
  <c r="EZ6" i="12" s="1"/>
  <c r="EZ4" i="12" s="1"/>
  <c r="EY5" i="12"/>
  <c r="EY6" i="12" s="1"/>
  <c r="EY4" i="12" s="1"/>
  <c r="EX5" i="12"/>
  <c r="EX6" i="12" s="1"/>
  <c r="EW5" i="12"/>
  <c r="EW6" i="12" s="1"/>
  <c r="EW4" i="12" s="1"/>
  <c r="EV5" i="12"/>
  <c r="EV6" i="12" s="1"/>
  <c r="EV4" i="12" s="1"/>
  <c r="EU5" i="12"/>
  <c r="EU6" i="12" s="1"/>
  <c r="EU4" i="12" s="1"/>
  <c r="ET5" i="12"/>
  <c r="ET6" i="12" s="1"/>
  <c r="ET4" i="12" s="1"/>
  <c r="ES5" i="12"/>
  <c r="ES6" i="12" s="1"/>
  <c r="ES4" i="12" s="1"/>
  <c r="ER5" i="12"/>
  <c r="ER6" i="12" s="1"/>
  <c r="ER4" i="12" s="1"/>
  <c r="EQ5" i="12"/>
  <c r="EQ6" i="12" s="1"/>
  <c r="EP5" i="12"/>
  <c r="EP6" i="12" s="1"/>
  <c r="EO5" i="12"/>
  <c r="EO6" i="12" s="1"/>
  <c r="EO4" i="12" s="1"/>
  <c r="EN5" i="12"/>
  <c r="EN6" i="12" s="1"/>
  <c r="EM5" i="12"/>
  <c r="EM6" i="12" s="1"/>
  <c r="EM4" i="12" s="1"/>
  <c r="EL5" i="12"/>
  <c r="EL6" i="12" s="1"/>
  <c r="EL4" i="12" s="1"/>
  <c r="EK5" i="12"/>
  <c r="EK6" i="12" s="1"/>
  <c r="EK4" i="12" s="1"/>
  <c r="EJ5" i="12"/>
  <c r="EJ6" i="12" s="1"/>
  <c r="EJ4" i="12" s="1"/>
  <c r="EI5" i="12"/>
  <c r="EI6" i="12" s="1"/>
  <c r="EI4" i="12" s="1"/>
  <c r="EH5" i="12"/>
  <c r="EH6" i="12" s="1"/>
  <c r="EG5" i="12"/>
  <c r="EG6" i="12" s="1"/>
  <c r="EG4" i="12" s="1"/>
  <c r="EF5" i="12"/>
  <c r="EF6" i="12" s="1"/>
  <c r="EF4" i="12" s="1"/>
  <c r="EE5" i="12"/>
  <c r="EE6" i="12" s="1"/>
  <c r="EE4" i="12" s="1"/>
  <c r="ED5" i="12"/>
  <c r="ED6" i="12" s="1"/>
  <c r="EC5" i="12"/>
  <c r="EC6" i="12" s="1"/>
  <c r="EC4" i="12" s="1"/>
  <c r="EB5" i="12"/>
  <c r="EB6" i="12" s="1"/>
  <c r="EB4" i="12" s="1"/>
  <c r="EA5" i="12"/>
  <c r="EA6" i="12" s="1"/>
  <c r="EA4" i="12" s="1"/>
  <c r="DZ5" i="12"/>
  <c r="DZ6" i="12" s="1"/>
  <c r="DZ4" i="12" s="1"/>
  <c r="DY5" i="12"/>
  <c r="DY6" i="12" s="1"/>
  <c r="DY4" i="12" s="1"/>
  <c r="DX5" i="12"/>
  <c r="DX6" i="12" s="1"/>
  <c r="DW5" i="12"/>
  <c r="DW6" i="12" s="1"/>
  <c r="DV5" i="12"/>
  <c r="DV6" i="12" s="1"/>
  <c r="DU5" i="12"/>
  <c r="DU6" i="12" s="1"/>
  <c r="DU4" i="12" s="1"/>
  <c r="DT5" i="12"/>
  <c r="DT6" i="12" s="1"/>
  <c r="DT4" i="12" s="1"/>
  <c r="DS5" i="12"/>
  <c r="DS6" i="12" s="1"/>
  <c r="DS4" i="12" s="1"/>
  <c r="DR5" i="12"/>
  <c r="DR6" i="12" s="1"/>
  <c r="DQ5" i="12"/>
  <c r="DQ6" i="12" s="1"/>
  <c r="DQ4" i="12" s="1"/>
  <c r="DP5" i="12"/>
  <c r="DP6" i="12" s="1"/>
  <c r="DP4" i="12" s="1"/>
  <c r="DO5" i="12"/>
  <c r="DO6" i="12" s="1"/>
  <c r="DN5" i="12"/>
  <c r="DN6" i="12" s="1"/>
  <c r="DN4" i="12" s="1"/>
  <c r="DM5" i="12"/>
  <c r="DM6" i="12" s="1"/>
  <c r="DM4" i="12" s="1"/>
  <c r="DL5" i="12"/>
  <c r="DL6" i="12" s="1"/>
  <c r="DL4" i="12" s="1"/>
  <c r="DK5" i="12"/>
  <c r="DK6" i="12" s="1"/>
  <c r="DK4" i="12" s="1"/>
  <c r="DJ5" i="12"/>
  <c r="DJ6" i="12" s="1"/>
  <c r="DJ4" i="12" s="1"/>
  <c r="DI5" i="12"/>
  <c r="DI6" i="12" s="1"/>
  <c r="DI4" i="12" s="1"/>
  <c r="DH5" i="12"/>
  <c r="DH6" i="12" s="1"/>
  <c r="DH4" i="12" s="1"/>
  <c r="DG5" i="12"/>
  <c r="DG6" i="12" s="1"/>
  <c r="DF5" i="12"/>
  <c r="DF6" i="12" s="1"/>
  <c r="DE5" i="12"/>
  <c r="DE6" i="12" s="1"/>
  <c r="DE4" i="12" s="1"/>
  <c r="DD5" i="12"/>
  <c r="DD6" i="12" s="1"/>
  <c r="DD4" i="12" s="1"/>
  <c r="DC5" i="12"/>
  <c r="DC6" i="12" s="1"/>
  <c r="DC4" i="12" s="1"/>
  <c r="DB5" i="12"/>
  <c r="DB6" i="12" s="1"/>
  <c r="DB4" i="12" s="1"/>
  <c r="DA5" i="12"/>
  <c r="DA6" i="12" s="1"/>
  <c r="DA4" i="12" s="1"/>
  <c r="CZ5" i="12"/>
  <c r="CZ6" i="12" s="1"/>
  <c r="CZ4" i="12" s="1"/>
  <c r="CY5" i="12"/>
  <c r="CY6" i="12" s="1"/>
  <c r="CX5" i="12"/>
  <c r="CX6" i="12" s="1"/>
  <c r="CX4" i="12" s="1"/>
  <c r="CW5" i="12"/>
  <c r="CW6" i="12" s="1"/>
  <c r="CW4" i="12" s="1"/>
  <c r="CV5" i="12"/>
  <c r="CV6" i="12" s="1"/>
  <c r="CV4" i="12" s="1"/>
  <c r="CU5" i="12"/>
  <c r="CU6" i="12" s="1"/>
  <c r="CU4" i="12" s="1"/>
  <c r="CT5" i="12"/>
  <c r="CT6" i="12" s="1"/>
  <c r="CS5" i="12"/>
  <c r="CS6" i="12" s="1"/>
  <c r="CS4" i="12" s="1"/>
  <c r="CR5" i="12"/>
  <c r="CR6" i="12" s="1"/>
  <c r="CP5" i="12"/>
  <c r="CP6" i="12" s="1"/>
  <c r="CP4" i="12" s="1"/>
  <c r="CO5" i="12"/>
  <c r="CO6" i="12" s="1"/>
  <c r="CO4" i="12" s="1"/>
  <c r="CN5" i="12"/>
  <c r="CN6" i="12" s="1"/>
  <c r="CN4" i="12" s="1"/>
  <c r="CM5" i="12"/>
  <c r="CM6" i="12" s="1"/>
  <c r="CM4" i="12" s="1"/>
  <c r="CL5" i="12"/>
  <c r="CL6" i="12" s="1"/>
  <c r="CL4" i="12" s="1"/>
  <c r="CK5" i="12"/>
  <c r="CK6" i="12" s="1"/>
  <c r="CJ5" i="12"/>
  <c r="CJ6" i="12" s="1"/>
  <c r="CJ4" i="12" s="1"/>
  <c r="CI5" i="12"/>
  <c r="CI6" i="12" s="1"/>
  <c r="CI4" i="12" s="1"/>
  <c r="CH5" i="12"/>
  <c r="CH6" i="12" s="1"/>
  <c r="CH4" i="12" s="1"/>
  <c r="CG5" i="12"/>
  <c r="CG6" i="12" s="1"/>
  <c r="CG4" i="12" s="1"/>
  <c r="CF5" i="12"/>
  <c r="CF6" i="12" s="1"/>
  <c r="CF4" i="12" s="1"/>
  <c r="CE5" i="12"/>
  <c r="CE6" i="12" s="1"/>
  <c r="CE4" i="12" s="1"/>
  <c r="CD5" i="12"/>
  <c r="CD6" i="12" s="1"/>
  <c r="CD4" i="12" s="1"/>
  <c r="CC5" i="12"/>
  <c r="CC6" i="12" s="1"/>
  <c r="CC4" i="12" s="1"/>
  <c r="CB5" i="12"/>
  <c r="CB6" i="12" s="1"/>
  <c r="CB4" i="12" s="1"/>
  <c r="CA5" i="12"/>
  <c r="CA6" i="12" s="1"/>
  <c r="BZ5" i="12"/>
  <c r="BZ6" i="12" s="1"/>
  <c r="BY5" i="12"/>
  <c r="BY6" i="12" s="1"/>
  <c r="BX5" i="12"/>
  <c r="BX6" i="12" s="1"/>
  <c r="BX4" i="12" s="1"/>
  <c r="BW5" i="12"/>
  <c r="BW6" i="12" s="1"/>
  <c r="BW4" i="12" s="1"/>
  <c r="BV5" i="12"/>
  <c r="BV6" i="12" s="1"/>
  <c r="BV4" i="12" s="1"/>
  <c r="BU5" i="12"/>
  <c r="BU6" i="12" s="1"/>
  <c r="BT5" i="12"/>
  <c r="BT6" i="12" s="1"/>
  <c r="BT4" i="12" s="1"/>
  <c r="BS5" i="12"/>
  <c r="BS6" i="12" s="1"/>
  <c r="BS4" i="12" s="1"/>
  <c r="BR5" i="12"/>
  <c r="BR6" i="12" s="1"/>
  <c r="BQ5" i="12"/>
  <c r="BQ6" i="12" s="1"/>
  <c r="BQ4" i="12" s="1"/>
  <c r="BP5" i="12"/>
  <c r="BP6" i="12" s="1"/>
  <c r="BP4" i="12" s="1"/>
  <c r="BO5" i="12"/>
  <c r="BO6" i="12" s="1"/>
  <c r="BO4" i="12" s="1"/>
  <c r="BN5" i="12"/>
  <c r="BN6" i="12" s="1"/>
  <c r="BN4" i="12" s="1"/>
  <c r="BM5" i="12"/>
  <c r="BM6" i="12" s="1"/>
  <c r="BM4" i="12" s="1"/>
  <c r="BL5" i="12"/>
  <c r="BL6" i="12" s="1"/>
  <c r="BL4" i="12" s="1"/>
  <c r="BK5" i="12"/>
  <c r="BK6" i="12" s="1"/>
  <c r="BJ5" i="12"/>
  <c r="BJ6" i="12" s="1"/>
  <c r="BJ4" i="12" s="1"/>
  <c r="BI5" i="12"/>
  <c r="BI6" i="12" s="1"/>
  <c r="BH5" i="12"/>
  <c r="BH6" i="12" s="1"/>
  <c r="BH4" i="12" s="1"/>
  <c r="BG5" i="12"/>
  <c r="BG6" i="12" s="1"/>
  <c r="BG4" i="12" s="1"/>
  <c r="BF5" i="12"/>
  <c r="BF6" i="12" s="1"/>
  <c r="BF4" i="12" s="1"/>
  <c r="BE5" i="12"/>
  <c r="BE6" i="12" s="1"/>
  <c r="BE4" i="12" s="1"/>
  <c r="BD5" i="12"/>
  <c r="BD6" i="12" s="1"/>
  <c r="BD4" i="12" s="1"/>
  <c r="BC5" i="12"/>
  <c r="BC6" i="12" s="1"/>
  <c r="BC4" i="12" s="1"/>
  <c r="BB5" i="12"/>
  <c r="BB6" i="12" s="1"/>
  <c r="BB4" i="12" s="1"/>
  <c r="BA5" i="12"/>
  <c r="BA6" i="12" s="1"/>
  <c r="AZ5" i="12"/>
  <c r="AZ6" i="12" s="1"/>
  <c r="AZ4" i="12" s="1"/>
  <c r="AY5" i="12"/>
  <c r="AY6" i="12" s="1"/>
  <c r="AY4" i="12" s="1"/>
  <c r="AX5" i="12"/>
  <c r="AX6" i="12" s="1"/>
  <c r="AX4" i="12" s="1"/>
  <c r="AW5" i="12"/>
  <c r="AW6" i="12" s="1"/>
  <c r="AW4" i="12" s="1"/>
  <c r="AV5" i="12"/>
  <c r="AV6" i="12" s="1"/>
  <c r="AV4" i="12" s="1"/>
  <c r="AU5" i="12"/>
  <c r="AU6" i="12" s="1"/>
  <c r="AT5" i="12"/>
  <c r="AT6" i="12" s="1"/>
  <c r="AT4" i="12" s="1"/>
  <c r="AS5" i="12"/>
  <c r="AS6" i="12" s="1"/>
  <c r="AS4" i="12" s="1"/>
  <c r="AR5" i="12"/>
  <c r="AR6" i="12" s="1"/>
  <c r="AR4" i="12" s="1"/>
  <c r="AQ5" i="12"/>
  <c r="AQ6" i="12" s="1"/>
  <c r="AQ4" i="12" s="1"/>
  <c r="AP5" i="12"/>
  <c r="AP6" i="12" s="1"/>
  <c r="AP4" i="12" s="1"/>
  <c r="AO5" i="12"/>
  <c r="AO6" i="12" s="1"/>
  <c r="AN5" i="12"/>
  <c r="AN6" i="12" s="1"/>
  <c r="AN4" i="12" s="1"/>
  <c r="AM5" i="12"/>
  <c r="AM6" i="12" s="1"/>
  <c r="AM4" i="12" s="1"/>
  <c r="AL5" i="12"/>
  <c r="AL6" i="12" s="1"/>
  <c r="AL4" i="12" s="1"/>
  <c r="AK5" i="12"/>
  <c r="AK6" i="12" s="1"/>
  <c r="AK4" i="12" s="1"/>
  <c r="AJ5" i="12"/>
  <c r="AJ6" i="12" s="1"/>
  <c r="AJ4" i="12" s="1"/>
  <c r="AI5" i="12"/>
  <c r="AI6" i="12" s="1"/>
  <c r="AI4" i="12" s="1"/>
  <c r="AH5" i="12"/>
  <c r="AH6" i="12" s="1"/>
  <c r="AH4" i="12" s="1"/>
  <c r="AG5" i="12"/>
  <c r="AG6" i="12" s="1"/>
  <c r="AG4" i="12" s="1"/>
  <c r="AF5" i="12"/>
  <c r="AF7" i="12" s="1"/>
  <c r="AE5" i="12"/>
  <c r="AE7" i="12" s="1"/>
  <c r="AD5" i="12"/>
  <c r="AD7" i="12" s="1"/>
  <c r="AC5" i="12"/>
  <c r="AC6" i="12" s="1"/>
  <c r="AB5" i="12"/>
  <c r="AA5" i="12"/>
  <c r="AA7" i="12" s="1"/>
  <c r="Z5" i="12"/>
  <c r="Z6" i="12" s="1"/>
  <c r="Z4" i="12" s="1"/>
  <c r="Y5" i="12"/>
  <c r="Y7" i="12" s="1"/>
  <c r="X5" i="12"/>
  <c r="W5" i="12"/>
  <c r="W7" i="12" s="1"/>
  <c r="V5" i="12"/>
  <c r="V6" i="12" s="1"/>
  <c r="V4" i="12" s="1"/>
  <c r="U5" i="12"/>
  <c r="U7" i="12" s="1"/>
  <c r="T5" i="12"/>
  <c r="S5" i="12"/>
  <c r="S7" i="12" s="1"/>
  <c r="R5" i="12"/>
  <c r="R6" i="12" s="1"/>
  <c r="R4" i="12" s="1"/>
  <c r="Q5" i="12"/>
  <c r="Q7" i="12" s="1"/>
  <c r="P5" i="12"/>
  <c r="P7" i="12" s="1"/>
  <c r="O5" i="12"/>
  <c r="O7" i="12" s="1"/>
  <c r="N5" i="12"/>
  <c r="N7" i="12" s="1"/>
  <c r="M5" i="12"/>
  <c r="M7" i="12" s="1"/>
  <c r="L5" i="12"/>
  <c r="K5" i="12"/>
  <c r="K7" i="12" s="1"/>
  <c r="J5" i="12"/>
  <c r="J6" i="12" s="1"/>
  <c r="J4" i="12" s="1"/>
  <c r="I5" i="12"/>
  <c r="I7" i="12" s="1"/>
  <c r="H5" i="12"/>
  <c r="G5" i="12"/>
  <c r="G7" i="12" s="1"/>
  <c r="F5" i="12"/>
  <c r="F6" i="12" s="1"/>
  <c r="F4" i="12" s="1"/>
  <c r="E5" i="12"/>
  <c r="E7" i="12" s="1"/>
  <c r="D5" i="12"/>
  <c r="C5" i="12"/>
  <c r="C7" i="12" s="1"/>
  <c r="B5" i="12"/>
  <c r="B6" i="12" s="1"/>
  <c r="B4" i="12" s="1"/>
  <c r="ND4" i="12"/>
  <c r="MX4" i="12"/>
  <c r="MV4" i="12"/>
  <c r="MS4" i="12"/>
  <c r="MF4" i="12"/>
  <c r="MC4" i="12"/>
  <c r="LT4" i="12"/>
  <c r="LR4" i="12"/>
  <c r="LN4" i="12"/>
  <c r="LH4" i="12"/>
  <c r="LB4" i="12"/>
  <c r="KB4" i="12"/>
  <c r="JV4" i="12"/>
  <c r="JL4" i="12"/>
  <c r="JF4" i="12"/>
  <c r="IP4" i="12"/>
  <c r="IL4" i="12"/>
  <c r="II4" i="12"/>
  <c r="IF4" i="12"/>
  <c r="IA4" i="12"/>
  <c r="HZ4" i="12"/>
  <c r="HS4" i="12"/>
  <c r="HP4" i="12"/>
  <c r="HK4" i="12"/>
  <c r="HJ4" i="12"/>
  <c r="HB4" i="12"/>
  <c r="GX4" i="12"/>
  <c r="GU4" i="12"/>
  <c r="GP4" i="12"/>
  <c r="GM4" i="12"/>
  <c r="GJ4" i="12"/>
  <c r="GD4" i="12"/>
  <c r="FZ4" i="12"/>
  <c r="FT4" i="12"/>
  <c r="FR4" i="12"/>
  <c r="FN4" i="12"/>
  <c r="FF4" i="12"/>
  <c r="FC4" i="12"/>
  <c r="EX4" i="12"/>
  <c r="EQ4" i="12"/>
  <c r="EP4" i="12"/>
  <c r="EN4" i="12"/>
  <c r="EH4" i="12"/>
  <c r="ED4" i="12"/>
  <c r="DX4" i="12"/>
  <c r="DW4" i="12"/>
  <c r="DV4" i="12"/>
  <c r="DR4" i="12"/>
  <c r="DO4" i="12"/>
  <c r="DG4" i="12"/>
  <c r="DF4" i="12"/>
  <c r="CY4" i="12"/>
  <c r="CT4" i="12"/>
  <c r="CR4" i="12"/>
  <c r="CK4" i="12"/>
  <c r="CA4" i="12"/>
  <c r="BZ4" i="12"/>
  <c r="BY4" i="12"/>
  <c r="BU4" i="12"/>
  <c r="BR4" i="12"/>
  <c r="BK4" i="12"/>
  <c r="BI4" i="12"/>
  <c r="BA4" i="12"/>
  <c r="AU4" i="12"/>
  <c r="AO4" i="12"/>
  <c r="AC4" i="12"/>
  <c r="NJ3" i="12"/>
  <c r="NI3" i="12"/>
  <c r="NH3" i="12"/>
  <c r="NG3" i="12"/>
  <c r="NF3" i="12"/>
  <c r="NE3" i="12"/>
  <c r="ND3" i="12"/>
  <c r="NC3" i="12"/>
  <c r="NB3" i="12"/>
  <c r="NA3" i="12"/>
  <c r="MZ3" i="12"/>
  <c r="MY3" i="12"/>
  <c r="MX3" i="12"/>
  <c r="MW3" i="12"/>
  <c r="MV3" i="12"/>
  <c r="MU3" i="12"/>
  <c r="MT3" i="12"/>
  <c r="MS3" i="12"/>
  <c r="MR3" i="12"/>
  <c r="MQ3" i="12"/>
  <c r="MP3" i="12"/>
  <c r="MO3" i="12"/>
  <c r="MN3" i="12"/>
  <c r="MM3" i="12"/>
  <c r="ML3" i="12"/>
  <c r="MK3" i="12"/>
  <c r="MJ3" i="12"/>
  <c r="MI3" i="12"/>
  <c r="MH3" i="12"/>
  <c r="MG3" i="12"/>
  <c r="MF3" i="12"/>
  <c r="ME3" i="12"/>
  <c r="MD3" i="12"/>
  <c r="MC3" i="12"/>
  <c r="MB3" i="12"/>
  <c r="MA3" i="12"/>
  <c r="LZ3" i="12"/>
  <c r="LY3" i="12"/>
  <c r="LX3" i="12"/>
  <c r="LW3" i="12"/>
  <c r="LV3" i="12"/>
  <c r="LU3" i="12"/>
  <c r="LT3" i="12"/>
  <c r="LS3" i="12"/>
  <c r="LR3" i="12"/>
  <c r="LQ3" i="12"/>
  <c r="LP3" i="12"/>
  <c r="LO3" i="12"/>
  <c r="LN3" i="12"/>
  <c r="LM3" i="12"/>
  <c r="LL3" i="12"/>
  <c r="LK3" i="12"/>
  <c r="LJ3" i="12"/>
  <c r="LI3" i="12"/>
  <c r="LH3" i="12"/>
  <c r="LG3" i="12"/>
  <c r="LF3" i="12"/>
  <c r="LE3" i="12"/>
  <c r="LD3" i="12"/>
  <c r="LC3" i="12"/>
  <c r="LB3" i="12"/>
  <c r="LA3" i="12"/>
  <c r="KZ3" i="12"/>
  <c r="KY3" i="12"/>
  <c r="KX3" i="12"/>
  <c r="KW3" i="12"/>
  <c r="KV3" i="12"/>
  <c r="KU3" i="12"/>
  <c r="KT3" i="12"/>
  <c r="KS3" i="12"/>
  <c r="KR3" i="12"/>
  <c r="KQ3" i="12"/>
  <c r="KP3" i="12"/>
  <c r="KO3" i="12"/>
  <c r="KN3" i="12"/>
  <c r="KM3" i="12"/>
  <c r="KL3" i="12"/>
  <c r="KK3" i="12"/>
  <c r="KJ3" i="12"/>
  <c r="KI3" i="12"/>
  <c r="KH3" i="12"/>
  <c r="KG3" i="12"/>
  <c r="KF3" i="12"/>
  <c r="KE3" i="12"/>
  <c r="KD3" i="12"/>
  <c r="KC3" i="12"/>
  <c r="KB3" i="12"/>
  <c r="KA3" i="12"/>
  <c r="JZ3" i="12"/>
  <c r="JY3" i="12"/>
  <c r="JX3" i="12"/>
  <c r="JW3" i="12"/>
  <c r="JV3" i="12"/>
  <c r="JU3" i="12"/>
  <c r="JT3" i="12"/>
  <c r="JS3" i="12"/>
  <c r="JR3" i="12"/>
  <c r="JQ3" i="12"/>
  <c r="JP3" i="12"/>
  <c r="JO3" i="12"/>
  <c r="JN3" i="12"/>
  <c r="JM3" i="12"/>
  <c r="JL3" i="12"/>
  <c r="JK3" i="12"/>
  <c r="JJ3" i="12"/>
  <c r="JI3" i="12"/>
  <c r="JH3" i="12"/>
  <c r="JG3" i="12"/>
  <c r="JF3" i="12"/>
  <c r="JE3" i="12"/>
  <c r="JD3" i="12"/>
  <c r="JC3" i="12"/>
  <c r="JB3" i="12"/>
  <c r="JA3" i="12"/>
  <c r="IZ3" i="12"/>
  <c r="IY3" i="12"/>
  <c r="IX3" i="12"/>
  <c r="IW3" i="12"/>
  <c r="IV3" i="12"/>
  <c r="IU3" i="12"/>
  <c r="IT3" i="12"/>
  <c r="IS3" i="12"/>
  <c r="IR3" i="12"/>
  <c r="IQ3" i="12"/>
  <c r="IP3" i="12"/>
  <c r="IO3" i="12"/>
  <c r="IN3" i="12"/>
  <c r="IM3" i="12"/>
  <c r="IL3" i="12"/>
  <c r="IK3" i="12"/>
  <c r="IJ3" i="12"/>
  <c r="II3" i="12"/>
  <c r="IH3" i="12"/>
  <c r="IG3" i="12"/>
  <c r="IF3" i="12"/>
  <c r="IE3" i="12"/>
  <c r="ID3" i="12"/>
  <c r="IC3" i="12"/>
  <c r="IB3" i="12"/>
  <c r="IA3" i="12"/>
  <c r="HZ3" i="12"/>
  <c r="HY3" i="12"/>
  <c r="HX3" i="12"/>
  <c r="HW3" i="12"/>
  <c r="HV3" i="12"/>
  <c r="HU3" i="12"/>
  <c r="HT3" i="12"/>
  <c r="HS3" i="12"/>
  <c r="HR3" i="12"/>
  <c r="HQ3" i="12"/>
  <c r="HP3" i="12"/>
  <c r="HO3" i="12"/>
  <c r="HN3" i="12"/>
  <c r="HM3" i="12"/>
  <c r="HL3" i="12"/>
  <c r="HK3" i="12"/>
  <c r="HJ3" i="12"/>
  <c r="HI3" i="12"/>
  <c r="HH3" i="12"/>
  <c r="HG3" i="12"/>
  <c r="HF3" i="12"/>
  <c r="HE3" i="12"/>
  <c r="HD3" i="12"/>
  <c r="HC3" i="12"/>
  <c r="HB3" i="12"/>
  <c r="HA3" i="12"/>
  <c r="GZ3" i="12"/>
  <c r="GY3" i="12"/>
  <c r="GX3" i="12"/>
  <c r="GW3" i="12"/>
  <c r="GV3" i="12"/>
  <c r="GU3" i="12"/>
  <c r="GT3" i="12"/>
  <c r="GS3" i="12"/>
  <c r="GR3" i="12"/>
  <c r="GQ3" i="12"/>
  <c r="GP3" i="12"/>
  <c r="GO3" i="12"/>
  <c r="GN3" i="12"/>
  <c r="GM3" i="12"/>
  <c r="GL3" i="12"/>
  <c r="GK3" i="12"/>
  <c r="GJ3" i="12"/>
  <c r="GI3" i="12"/>
  <c r="GH3" i="12"/>
  <c r="GG3" i="12"/>
  <c r="GF3" i="12"/>
  <c r="GE3" i="12"/>
  <c r="GD3" i="12"/>
  <c r="GC3" i="12"/>
  <c r="GB3" i="12"/>
  <c r="GA3" i="12"/>
  <c r="FZ3" i="12"/>
  <c r="FY3" i="12"/>
  <c r="FX3" i="12"/>
  <c r="FW3" i="12"/>
  <c r="FV3" i="12"/>
  <c r="FU3" i="12"/>
  <c r="FT3" i="12"/>
  <c r="FS3" i="12"/>
  <c r="FR3" i="12"/>
  <c r="FQ3" i="12"/>
  <c r="FP3" i="12"/>
  <c r="FO3" i="12"/>
  <c r="FN3" i="12"/>
  <c r="FM3" i="12"/>
  <c r="FL3" i="12"/>
  <c r="FK3" i="12"/>
  <c r="FJ3" i="12"/>
  <c r="FI3" i="12"/>
  <c r="FH3" i="12"/>
  <c r="FG3" i="12"/>
  <c r="FF3" i="12"/>
  <c r="FE3" i="12"/>
  <c r="FD3" i="12"/>
  <c r="FC3" i="12"/>
  <c r="FB3" i="12"/>
  <c r="FA3" i="12"/>
  <c r="EZ3" i="12"/>
  <c r="EY3" i="12"/>
  <c r="EX3" i="12"/>
  <c r="EW3" i="12"/>
  <c r="EV3" i="12"/>
  <c r="EU3" i="12"/>
  <c r="ET3" i="12"/>
  <c r="ES3" i="12"/>
  <c r="ER3" i="12"/>
  <c r="EQ3" i="12"/>
  <c r="EP3" i="12"/>
  <c r="EO3" i="12"/>
  <c r="EN3" i="12"/>
  <c r="EM3" i="12"/>
  <c r="EL3" i="12"/>
  <c r="EK3" i="12"/>
  <c r="EJ3" i="12"/>
  <c r="EI3" i="12"/>
  <c r="EH3" i="12"/>
  <c r="EG3" i="12"/>
  <c r="EF3" i="12"/>
  <c r="EE3" i="12"/>
  <c r="ED3" i="12"/>
  <c r="EC3" i="12"/>
  <c r="EB3" i="12"/>
  <c r="EA3" i="12"/>
  <c r="DZ3" i="12"/>
  <c r="DY3" i="12"/>
  <c r="DX3" i="12"/>
  <c r="DW3" i="12"/>
  <c r="DV3" i="12"/>
  <c r="DU3" i="12"/>
  <c r="DT3" i="12"/>
  <c r="DS3" i="12"/>
  <c r="DR3" i="12"/>
  <c r="DQ3" i="12"/>
  <c r="DP3" i="12"/>
  <c r="DO3" i="12"/>
  <c r="DN3" i="12"/>
  <c r="DM3" i="12"/>
  <c r="DL3" i="12"/>
  <c r="DK3" i="12"/>
  <c r="DJ3" i="12"/>
  <c r="DI3" i="12"/>
  <c r="DH3" i="12"/>
  <c r="DG3" i="12"/>
  <c r="DF3" i="12"/>
  <c r="DE3" i="12"/>
  <c r="DD3" i="12"/>
  <c r="DC3" i="12"/>
  <c r="DB3" i="12"/>
  <c r="DA3" i="12"/>
  <c r="CZ3" i="12"/>
  <c r="CY3" i="12"/>
  <c r="CX3" i="12"/>
  <c r="CW3" i="12"/>
  <c r="CV3" i="12"/>
  <c r="CU3" i="12"/>
  <c r="CT3" i="12"/>
  <c r="CS3" i="12"/>
  <c r="CR3" i="12"/>
  <c r="CP3" i="12"/>
  <c r="CO3" i="12"/>
  <c r="CN3" i="12"/>
  <c r="CM3" i="12"/>
  <c r="CL3"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D3" i="12"/>
  <c r="C3" i="12"/>
  <c r="B3" i="12"/>
  <c r="AF7" i="11"/>
  <c r="NI6" i="11"/>
  <c r="NI4" i="11" s="1"/>
  <c r="NA6" i="11"/>
  <c r="MW6" i="11"/>
  <c r="MS6" i="11"/>
  <c r="MK6" i="11"/>
  <c r="MH6" i="11"/>
  <c r="MH4" i="11" s="1"/>
  <c r="MG6" i="11"/>
  <c r="MC6" i="11"/>
  <c r="LU6" i="11"/>
  <c r="LQ6" i="11"/>
  <c r="LQ4" i="11" s="1"/>
  <c r="LM6" i="11"/>
  <c r="LG6" i="11"/>
  <c r="LG4" i="11" s="1"/>
  <c r="LC6" i="11"/>
  <c r="KY6" i="11"/>
  <c r="KY4" i="11" s="1"/>
  <c r="KU6" i="11"/>
  <c r="KQ6" i="11"/>
  <c r="KQ4" i="11" s="1"/>
  <c r="KM6" i="11"/>
  <c r="KI6" i="11"/>
  <c r="KI4" i="11" s="1"/>
  <c r="KE6" i="11"/>
  <c r="KA6" i="11"/>
  <c r="KA4" i="11" s="1"/>
  <c r="JS6" i="11"/>
  <c r="JS4" i="11" s="1"/>
  <c r="JK6" i="11"/>
  <c r="JK4" i="11" s="1"/>
  <c r="JC6" i="11"/>
  <c r="JC4" i="11" s="1"/>
  <c r="IU6" i="11"/>
  <c r="IU4" i="11" s="1"/>
  <c r="IM6" i="11"/>
  <c r="IM4" i="11" s="1"/>
  <c r="IE6" i="11"/>
  <c r="IE4" i="11" s="1"/>
  <c r="HW6" i="11"/>
  <c r="HW4" i="11" s="1"/>
  <c r="HO6" i="11"/>
  <c r="HO4" i="11" s="1"/>
  <c r="HG6" i="11"/>
  <c r="HG4" i="11" s="1"/>
  <c r="GY6" i="11"/>
  <c r="GY4" i="11" s="1"/>
  <c r="GQ6" i="11"/>
  <c r="GQ4" i="11" s="1"/>
  <c r="GI6" i="11"/>
  <c r="GI4" i="11" s="1"/>
  <c r="GA6" i="11"/>
  <c r="GA4" i="11" s="1"/>
  <c r="FS6" i="11"/>
  <c r="FK6" i="11"/>
  <c r="FC6" i="11"/>
  <c r="EU6" i="11"/>
  <c r="EU4" i="11" s="1"/>
  <c r="EM6" i="11"/>
  <c r="EE6" i="11"/>
  <c r="DW6" i="11"/>
  <c r="DO6" i="11"/>
  <c r="DO4" i="11" s="1"/>
  <c r="DG6" i="11"/>
  <c r="CY6" i="11"/>
  <c r="CP6" i="11"/>
  <c r="CH6" i="11"/>
  <c r="CH4" i="11" s="1"/>
  <c r="BZ6" i="11"/>
  <c r="BJ6" i="11"/>
  <c r="BJ4" i="11" s="1"/>
  <c r="AT6" i="11"/>
  <c r="AD6" i="11"/>
  <c r="S6" i="11"/>
  <c r="S4" i="11" s="1"/>
  <c r="N6" i="11"/>
  <c r="NJ5" i="11"/>
  <c r="NJ6" i="11" s="1"/>
  <c r="NI5" i="11"/>
  <c r="NH5" i="11"/>
  <c r="NH6" i="11" s="1"/>
  <c r="NH4" i="11" s="1"/>
  <c r="NG5" i="11"/>
  <c r="NG6" i="11" s="1"/>
  <c r="NF5" i="11"/>
  <c r="NF6" i="11" s="1"/>
  <c r="NE5" i="11"/>
  <c r="NE6" i="11" s="1"/>
  <c r="ND5" i="11"/>
  <c r="ND6" i="11" s="1"/>
  <c r="ND4" i="11" s="1"/>
  <c r="NC5" i="11"/>
  <c r="NC6" i="11" s="1"/>
  <c r="NB5" i="11"/>
  <c r="NB6" i="11" s="1"/>
  <c r="NB4" i="11" s="1"/>
  <c r="NA5" i="11"/>
  <c r="MZ5" i="11"/>
  <c r="MZ6" i="11" s="1"/>
  <c r="MZ4" i="11" s="1"/>
  <c r="MY5" i="11"/>
  <c r="MY6" i="11" s="1"/>
  <c r="MX5" i="11"/>
  <c r="MX6" i="11" s="1"/>
  <c r="MX4" i="11" s="1"/>
  <c r="MW5" i="11"/>
  <c r="MV5" i="11"/>
  <c r="MV6" i="11" s="1"/>
  <c r="MV4" i="11" s="1"/>
  <c r="MU5" i="11"/>
  <c r="MU6" i="11" s="1"/>
  <c r="MT5" i="11"/>
  <c r="MT6" i="11" s="1"/>
  <c r="MS5" i="11"/>
  <c r="MR5" i="11"/>
  <c r="MR6" i="11" s="1"/>
  <c r="MR4" i="11" s="1"/>
  <c r="MQ5" i="11"/>
  <c r="MQ6" i="11" s="1"/>
  <c r="MP5" i="11"/>
  <c r="MP6" i="11" s="1"/>
  <c r="MO5" i="11"/>
  <c r="MO6" i="11" s="1"/>
  <c r="MN5" i="11"/>
  <c r="MN6" i="11" s="1"/>
  <c r="MN4" i="11" s="1"/>
  <c r="MM5" i="11"/>
  <c r="MM6" i="11" s="1"/>
  <c r="ML5" i="11"/>
  <c r="ML6" i="11" s="1"/>
  <c r="ML4" i="11" s="1"/>
  <c r="MK5" i="11"/>
  <c r="MJ5" i="11"/>
  <c r="MJ6" i="11" s="1"/>
  <c r="MJ4" i="11" s="1"/>
  <c r="MI5" i="11"/>
  <c r="MI6" i="11" s="1"/>
  <c r="MH5" i="11"/>
  <c r="MG5" i="11"/>
  <c r="MF5" i="11"/>
  <c r="MF6" i="11" s="1"/>
  <c r="MF4" i="11" s="1"/>
  <c r="ME5" i="11"/>
  <c r="ME6" i="11" s="1"/>
  <c r="MD5" i="11"/>
  <c r="MD6" i="11" s="1"/>
  <c r="MC5" i="11"/>
  <c r="MB5" i="11"/>
  <c r="MB6" i="11" s="1"/>
  <c r="MB4" i="11" s="1"/>
  <c r="MA5" i="11"/>
  <c r="MA6" i="11" s="1"/>
  <c r="LZ5" i="11"/>
  <c r="LZ6" i="11" s="1"/>
  <c r="LY5" i="11"/>
  <c r="LY6" i="11" s="1"/>
  <c r="LX5" i="11"/>
  <c r="LX6" i="11" s="1"/>
  <c r="LX4" i="11" s="1"/>
  <c r="LW5" i="11"/>
  <c r="LW6" i="11" s="1"/>
  <c r="LV5" i="11"/>
  <c r="LV6" i="11" s="1"/>
  <c r="LV4" i="11" s="1"/>
  <c r="LU5" i="11"/>
  <c r="LT5" i="11"/>
  <c r="LT6" i="11" s="1"/>
  <c r="LT4" i="11" s="1"/>
  <c r="LS5" i="11"/>
  <c r="LS6" i="11" s="1"/>
  <c r="LR5" i="11"/>
  <c r="LR6" i="11" s="1"/>
  <c r="LR4" i="11" s="1"/>
  <c r="LQ5" i="11"/>
  <c r="LP5" i="11"/>
  <c r="LP6" i="11" s="1"/>
  <c r="LO5" i="11"/>
  <c r="LO6" i="11" s="1"/>
  <c r="LN5" i="11"/>
  <c r="LN6" i="11" s="1"/>
  <c r="LM5" i="11"/>
  <c r="LL5" i="11"/>
  <c r="LL6" i="11" s="1"/>
  <c r="LK5" i="11"/>
  <c r="LK6" i="11" s="1"/>
  <c r="LJ5" i="11"/>
  <c r="LJ6" i="11" s="1"/>
  <c r="LI5" i="11"/>
  <c r="LI6" i="11" s="1"/>
  <c r="LH5" i="11"/>
  <c r="LH6" i="11" s="1"/>
  <c r="LG5" i="11"/>
  <c r="LF5" i="11"/>
  <c r="LF6" i="11" s="1"/>
  <c r="LE5" i="11"/>
  <c r="LE6" i="11" s="1"/>
  <c r="LD5" i="11"/>
  <c r="LD6" i="11" s="1"/>
  <c r="LD4" i="11" s="1"/>
  <c r="LC5" i="11"/>
  <c r="LB5" i="11"/>
  <c r="LB6" i="11" s="1"/>
  <c r="LA5" i="11"/>
  <c r="LA6" i="11" s="1"/>
  <c r="KZ5" i="11"/>
  <c r="KZ6" i="11" s="1"/>
  <c r="KZ4" i="11" s="1"/>
  <c r="KY5" i="11"/>
  <c r="KX5" i="11"/>
  <c r="KX6" i="11" s="1"/>
  <c r="KW5" i="11"/>
  <c r="KW6" i="11" s="1"/>
  <c r="KV5" i="11"/>
  <c r="KV6" i="11" s="1"/>
  <c r="KU5" i="11"/>
  <c r="KT5" i="11"/>
  <c r="KT6" i="11" s="1"/>
  <c r="KS5" i="11"/>
  <c r="KS6" i="11" s="1"/>
  <c r="KR5" i="11"/>
  <c r="KR6" i="11" s="1"/>
  <c r="KQ5" i="11"/>
  <c r="KP5" i="11"/>
  <c r="KP6" i="11" s="1"/>
  <c r="KO5" i="11"/>
  <c r="KO6" i="11" s="1"/>
  <c r="KN5" i="11"/>
  <c r="KN6" i="11" s="1"/>
  <c r="KN4" i="11" s="1"/>
  <c r="KM5" i="11"/>
  <c r="KL5" i="11"/>
  <c r="KL6" i="11" s="1"/>
  <c r="KK5" i="11"/>
  <c r="KK6" i="11" s="1"/>
  <c r="KJ5" i="11"/>
  <c r="KJ6" i="11" s="1"/>
  <c r="KJ4" i="11" s="1"/>
  <c r="KI5" i="11"/>
  <c r="KH5" i="11"/>
  <c r="KH6" i="11" s="1"/>
  <c r="KG5" i="11"/>
  <c r="KG6" i="11" s="1"/>
  <c r="KF5" i="11"/>
  <c r="KF6" i="11" s="1"/>
  <c r="KE5" i="11"/>
  <c r="KD5" i="11"/>
  <c r="KD6" i="11" s="1"/>
  <c r="KC5" i="11"/>
  <c r="KC6" i="11" s="1"/>
  <c r="KB5" i="11"/>
  <c r="KB6" i="11" s="1"/>
  <c r="KA5" i="11"/>
  <c r="JZ5" i="11"/>
  <c r="JZ6" i="11" s="1"/>
  <c r="JY5" i="11"/>
  <c r="JY6" i="11" s="1"/>
  <c r="JX5" i="11"/>
  <c r="JX6" i="11" s="1"/>
  <c r="JX4" i="11" s="1"/>
  <c r="JW5" i="11"/>
  <c r="JW6" i="11" s="1"/>
  <c r="JW4" i="11" s="1"/>
  <c r="JV5" i="11"/>
  <c r="JV6" i="11" s="1"/>
  <c r="JU5" i="11"/>
  <c r="JU6" i="11" s="1"/>
  <c r="JT5" i="11"/>
  <c r="JT6" i="11" s="1"/>
  <c r="JS5" i="11"/>
  <c r="JR5" i="11"/>
  <c r="JR6" i="11" s="1"/>
  <c r="JQ5" i="11"/>
  <c r="JQ6" i="11" s="1"/>
  <c r="JP5" i="11"/>
  <c r="JP6" i="11" s="1"/>
  <c r="JP4" i="11" s="1"/>
  <c r="JO5" i="11"/>
  <c r="JO6" i="11" s="1"/>
  <c r="JO4" i="11" s="1"/>
  <c r="JN5" i="11"/>
  <c r="JN6" i="11" s="1"/>
  <c r="JM5" i="11"/>
  <c r="JM6" i="11" s="1"/>
  <c r="JL5" i="11"/>
  <c r="JL6" i="11" s="1"/>
  <c r="JK5" i="11"/>
  <c r="JJ5" i="11"/>
  <c r="JJ6" i="11" s="1"/>
  <c r="JI5" i="11"/>
  <c r="JI6" i="11" s="1"/>
  <c r="JH5" i="11"/>
  <c r="JH6" i="11" s="1"/>
  <c r="JH4" i="11" s="1"/>
  <c r="JG5" i="11"/>
  <c r="JG6" i="11" s="1"/>
  <c r="JG4" i="11" s="1"/>
  <c r="JF5" i="11"/>
  <c r="JF6" i="11" s="1"/>
  <c r="JE5" i="11"/>
  <c r="JE6" i="11" s="1"/>
  <c r="JD5" i="11"/>
  <c r="JD6" i="11" s="1"/>
  <c r="JC5" i="11"/>
  <c r="JB5" i="11"/>
  <c r="JB6" i="11" s="1"/>
  <c r="JA5" i="11"/>
  <c r="JA6" i="11" s="1"/>
  <c r="IZ5" i="11"/>
  <c r="IZ6" i="11" s="1"/>
  <c r="IZ4" i="11" s="1"/>
  <c r="IY5" i="11"/>
  <c r="IY6" i="11" s="1"/>
  <c r="IY4" i="11" s="1"/>
  <c r="IX5" i="11"/>
  <c r="IX6" i="11" s="1"/>
  <c r="IW5" i="11"/>
  <c r="IW6" i="11" s="1"/>
  <c r="IV5" i="11"/>
  <c r="IV6" i="11" s="1"/>
  <c r="IU5" i="11"/>
  <c r="IT5" i="11"/>
  <c r="IT6" i="11" s="1"/>
  <c r="IS5" i="11"/>
  <c r="IS6" i="11" s="1"/>
  <c r="IR5" i="11"/>
  <c r="IR6" i="11" s="1"/>
  <c r="IR4" i="11" s="1"/>
  <c r="IQ5" i="11"/>
  <c r="IQ6" i="11" s="1"/>
  <c r="IQ4" i="11" s="1"/>
  <c r="IP5" i="11"/>
  <c r="IP6" i="11" s="1"/>
  <c r="IO5" i="11"/>
  <c r="IO6" i="11" s="1"/>
  <c r="IN5" i="11"/>
  <c r="IN6" i="11" s="1"/>
  <c r="IM5" i="11"/>
  <c r="IL5" i="11"/>
  <c r="IL6" i="11" s="1"/>
  <c r="IK5" i="11"/>
  <c r="IK6" i="11" s="1"/>
  <c r="IJ5" i="11"/>
  <c r="IJ6" i="11" s="1"/>
  <c r="IJ4" i="11" s="1"/>
  <c r="II5" i="11"/>
  <c r="II6" i="11" s="1"/>
  <c r="II4" i="11" s="1"/>
  <c r="IH5" i="11"/>
  <c r="IH6" i="11" s="1"/>
  <c r="IG5" i="11"/>
  <c r="IG6" i="11" s="1"/>
  <c r="IF5" i="11"/>
  <c r="IF6" i="11" s="1"/>
  <c r="IE5" i="11"/>
  <c r="ID5" i="11"/>
  <c r="ID6" i="11" s="1"/>
  <c r="IC5" i="11"/>
  <c r="IC6" i="11" s="1"/>
  <c r="IB5" i="11"/>
  <c r="IB6" i="11" s="1"/>
  <c r="IB4" i="11" s="1"/>
  <c r="IA5" i="11"/>
  <c r="IA6" i="11" s="1"/>
  <c r="IA4" i="11" s="1"/>
  <c r="HZ5" i="11"/>
  <c r="HZ6" i="11" s="1"/>
  <c r="HY5" i="11"/>
  <c r="HY6" i="11" s="1"/>
  <c r="HX5" i="11"/>
  <c r="HX6" i="11" s="1"/>
  <c r="HW5" i="11"/>
  <c r="HV5" i="11"/>
  <c r="HV6" i="11" s="1"/>
  <c r="HU5" i="11"/>
  <c r="HU6" i="11" s="1"/>
  <c r="HT5" i="11"/>
  <c r="HT6" i="11" s="1"/>
  <c r="HT4" i="11" s="1"/>
  <c r="HS5" i="11"/>
  <c r="HS6" i="11" s="1"/>
  <c r="HS4" i="11" s="1"/>
  <c r="HR5" i="11"/>
  <c r="HR6" i="11" s="1"/>
  <c r="HQ5" i="11"/>
  <c r="HQ6" i="11" s="1"/>
  <c r="HP5" i="11"/>
  <c r="HP6" i="11" s="1"/>
  <c r="HO5" i="11"/>
  <c r="HN5" i="11"/>
  <c r="HN6" i="11" s="1"/>
  <c r="HM5" i="11"/>
  <c r="HM6" i="11" s="1"/>
  <c r="HL5" i="11"/>
  <c r="HL6" i="11" s="1"/>
  <c r="HL4" i="11" s="1"/>
  <c r="HK5" i="11"/>
  <c r="HK6" i="11" s="1"/>
  <c r="HK4" i="11" s="1"/>
  <c r="HJ5" i="11"/>
  <c r="HJ6" i="11" s="1"/>
  <c r="HI5" i="11"/>
  <c r="HI6" i="11" s="1"/>
  <c r="HH5" i="11"/>
  <c r="HH6" i="11" s="1"/>
  <c r="HG5" i="11"/>
  <c r="HF5" i="11"/>
  <c r="HF6" i="11" s="1"/>
  <c r="HE5" i="11"/>
  <c r="HE6" i="11" s="1"/>
  <c r="HD5" i="11"/>
  <c r="HD6" i="11" s="1"/>
  <c r="HD4" i="11" s="1"/>
  <c r="HC5" i="11"/>
  <c r="HC6" i="11" s="1"/>
  <c r="HC4" i="11" s="1"/>
  <c r="HB5" i="11"/>
  <c r="HB6" i="11" s="1"/>
  <c r="HA5" i="11"/>
  <c r="HA6" i="11" s="1"/>
  <c r="GZ5" i="11"/>
  <c r="GZ6" i="11" s="1"/>
  <c r="GY5" i="11"/>
  <c r="GX5" i="11"/>
  <c r="GX6" i="11" s="1"/>
  <c r="GW5" i="11"/>
  <c r="GW6" i="11" s="1"/>
  <c r="GV5" i="11"/>
  <c r="GV6" i="11" s="1"/>
  <c r="GV4" i="11" s="1"/>
  <c r="GU5" i="11"/>
  <c r="GU6" i="11" s="1"/>
  <c r="GU4" i="11" s="1"/>
  <c r="GT5" i="11"/>
  <c r="GT6" i="11" s="1"/>
  <c r="GS5" i="11"/>
  <c r="GS6" i="11" s="1"/>
  <c r="GR5" i="11"/>
  <c r="GR6" i="11" s="1"/>
  <c r="GQ5" i="11"/>
  <c r="GP5" i="11"/>
  <c r="GP6" i="11" s="1"/>
  <c r="GO5" i="11"/>
  <c r="GO6" i="11" s="1"/>
  <c r="GN5" i="11"/>
  <c r="GN6" i="11" s="1"/>
  <c r="GN4" i="11" s="1"/>
  <c r="GM5" i="11"/>
  <c r="GM6" i="11" s="1"/>
  <c r="GM4" i="11" s="1"/>
  <c r="GL5" i="11"/>
  <c r="GL6" i="11" s="1"/>
  <c r="GK5" i="11"/>
  <c r="GK6" i="11" s="1"/>
  <c r="GJ5" i="11"/>
  <c r="GJ6" i="11" s="1"/>
  <c r="GI5" i="11"/>
  <c r="GH5" i="11"/>
  <c r="GH6" i="11" s="1"/>
  <c r="GG5" i="11"/>
  <c r="GG6" i="11" s="1"/>
  <c r="GF5" i="11"/>
  <c r="GF6" i="11" s="1"/>
  <c r="GF4" i="11" s="1"/>
  <c r="GE5" i="11"/>
  <c r="GE6" i="11" s="1"/>
  <c r="GE4" i="11" s="1"/>
  <c r="GD5" i="11"/>
  <c r="GD6" i="11" s="1"/>
  <c r="GC5" i="11"/>
  <c r="GC6" i="11" s="1"/>
  <c r="GB5" i="11"/>
  <c r="GB6" i="11" s="1"/>
  <c r="GA5" i="11"/>
  <c r="FZ5" i="11"/>
  <c r="FZ6" i="11" s="1"/>
  <c r="FY5" i="11"/>
  <c r="FY6" i="11" s="1"/>
  <c r="FX5" i="11"/>
  <c r="FX6" i="11" s="1"/>
  <c r="FW5" i="11"/>
  <c r="FW6" i="11" s="1"/>
  <c r="FV5" i="11"/>
  <c r="FV6" i="11" s="1"/>
  <c r="FU5" i="11"/>
  <c r="FU6" i="11" s="1"/>
  <c r="FT5" i="11"/>
  <c r="FT6" i="11" s="1"/>
  <c r="FS5" i="11"/>
  <c r="FR5" i="11"/>
  <c r="FR6" i="11" s="1"/>
  <c r="FQ5" i="11"/>
  <c r="FQ6" i="11" s="1"/>
  <c r="FP5" i="11"/>
  <c r="FP6" i="11" s="1"/>
  <c r="FO5" i="11"/>
  <c r="FO6" i="11" s="1"/>
  <c r="FN5" i="11"/>
  <c r="FN6" i="11" s="1"/>
  <c r="FM5" i="11"/>
  <c r="FM6" i="11" s="1"/>
  <c r="FL5" i="11"/>
  <c r="FL6" i="11" s="1"/>
  <c r="FK5" i="11"/>
  <c r="FJ5" i="11"/>
  <c r="FJ6" i="11" s="1"/>
  <c r="FI5" i="11"/>
  <c r="FI6" i="11" s="1"/>
  <c r="FH5" i="11"/>
  <c r="FH6" i="11" s="1"/>
  <c r="FG5" i="11"/>
  <c r="FG6" i="11" s="1"/>
  <c r="FF5" i="11"/>
  <c r="FF6" i="11" s="1"/>
  <c r="FE5" i="11"/>
  <c r="FE6" i="11" s="1"/>
  <c r="FD5" i="11"/>
  <c r="FD6" i="11" s="1"/>
  <c r="FC5" i="11"/>
  <c r="FB5" i="11"/>
  <c r="FB6" i="11" s="1"/>
  <c r="FA5" i="11"/>
  <c r="FA6" i="11" s="1"/>
  <c r="EZ5" i="11"/>
  <c r="EZ6" i="11" s="1"/>
  <c r="EY5" i="11"/>
  <c r="EY6" i="11" s="1"/>
  <c r="EX5" i="11"/>
  <c r="EX6" i="11" s="1"/>
  <c r="EW5" i="11"/>
  <c r="EW6" i="11" s="1"/>
  <c r="EV5" i="11"/>
  <c r="EV6" i="11" s="1"/>
  <c r="EU5" i="11"/>
  <c r="ET5" i="11"/>
  <c r="ET6" i="11" s="1"/>
  <c r="ES5" i="11"/>
  <c r="ES6" i="11" s="1"/>
  <c r="ER5" i="11"/>
  <c r="ER6" i="11" s="1"/>
  <c r="EQ5" i="11"/>
  <c r="EQ6" i="11" s="1"/>
  <c r="EP5" i="11"/>
  <c r="EP6" i="11" s="1"/>
  <c r="EO5" i="11"/>
  <c r="EO6" i="11" s="1"/>
  <c r="EN5" i="11"/>
  <c r="EN6" i="11" s="1"/>
  <c r="EM5" i="11"/>
  <c r="EL5" i="11"/>
  <c r="EL6" i="11" s="1"/>
  <c r="EK5" i="11"/>
  <c r="EK6" i="11" s="1"/>
  <c r="EJ5" i="11"/>
  <c r="EJ6" i="11" s="1"/>
  <c r="EI5" i="11"/>
  <c r="EI6" i="11" s="1"/>
  <c r="EH5" i="11"/>
  <c r="EH6" i="11" s="1"/>
  <c r="EG5" i="11"/>
  <c r="EG6" i="11" s="1"/>
  <c r="EF5" i="11"/>
  <c r="EF6" i="11" s="1"/>
  <c r="EE5" i="11"/>
  <c r="ED5" i="11"/>
  <c r="ED6" i="11" s="1"/>
  <c r="EC5" i="11"/>
  <c r="EC6" i="11" s="1"/>
  <c r="EB5" i="11"/>
  <c r="EB6" i="11" s="1"/>
  <c r="EA5" i="11"/>
  <c r="EA6" i="11" s="1"/>
  <c r="DZ5" i="11"/>
  <c r="DZ6" i="11" s="1"/>
  <c r="DY5" i="11"/>
  <c r="DY6" i="11" s="1"/>
  <c r="DX5" i="11"/>
  <c r="DX6" i="11" s="1"/>
  <c r="DW5" i="11"/>
  <c r="DV5" i="11"/>
  <c r="DV6" i="11" s="1"/>
  <c r="DU5" i="11"/>
  <c r="DU6" i="11" s="1"/>
  <c r="DT5" i="11"/>
  <c r="DT6" i="11" s="1"/>
  <c r="DS5" i="11"/>
  <c r="DS6" i="11" s="1"/>
  <c r="DR5" i="11"/>
  <c r="DR6" i="11" s="1"/>
  <c r="DQ5" i="11"/>
  <c r="DQ6" i="11" s="1"/>
  <c r="DP5" i="11"/>
  <c r="DP6" i="11" s="1"/>
  <c r="DO5" i="11"/>
  <c r="DN5" i="11"/>
  <c r="DN6" i="11" s="1"/>
  <c r="DM5" i="11"/>
  <c r="DM6" i="11" s="1"/>
  <c r="DL5" i="11"/>
  <c r="DL6" i="11" s="1"/>
  <c r="DK5" i="11"/>
  <c r="DK6" i="11" s="1"/>
  <c r="DJ5" i="11"/>
  <c r="DJ6" i="11" s="1"/>
  <c r="DI5" i="11"/>
  <c r="DI6" i="11" s="1"/>
  <c r="DH5" i="11"/>
  <c r="DH6" i="11" s="1"/>
  <c r="DG5" i="11"/>
  <c r="DF5" i="11"/>
  <c r="DF6" i="11" s="1"/>
  <c r="DE5" i="11"/>
  <c r="DE6" i="11" s="1"/>
  <c r="DD5" i="11"/>
  <c r="DD6" i="11" s="1"/>
  <c r="DC5" i="11"/>
  <c r="DC6" i="11" s="1"/>
  <c r="DB5" i="11"/>
  <c r="DB6" i="11" s="1"/>
  <c r="DA5" i="11"/>
  <c r="DA6" i="11" s="1"/>
  <c r="CZ5" i="11"/>
  <c r="CZ6" i="11" s="1"/>
  <c r="CY5" i="11"/>
  <c r="CX5" i="11"/>
  <c r="CX6" i="11" s="1"/>
  <c r="CW5" i="11"/>
  <c r="CW6" i="11" s="1"/>
  <c r="CV5" i="11"/>
  <c r="CV6" i="11" s="1"/>
  <c r="CU5" i="11"/>
  <c r="CU6" i="11" s="1"/>
  <c r="CT5" i="11"/>
  <c r="CT6" i="11" s="1"/>
  <c r="CS5" i="11"/>
  <c r="CS6" i="11" s="1"/>
  <c r="CR5" i="11"/>
  <c r="CR6" i="11" s="1"/>
  <c r="CP5" i="11"/>
  <c r="CO5" i="11"/>
  <c r="CO6" i="11" s="1"/>
  <c r="CN5" i="11"/>
  <c r="CN6" i="11" s="1"/>
  <c r="CM5" i="11"/>
  <c r="CM6" i="11" s="1"/>
  <c r="CL5" i="11"/>
  <c r="CL6" i="11" s="1"/>
  <c r="CK5" i="11"/>
  <c r="CK6" i="11" s="1"/>
  <c r="CJ5" i="11"/>
  <c r="CJ6" i="11" s="1"/>
  <c r="CI5" i="11"/>
  <c r="CI6" i="11" s="1"/>
  <c r="CH5" i="11"/>
  <c r="CG5" i="11"/>
  <c r="CG6" i="11" s="1"/>
  <c r="CF5" i="11"/>
  <c r="CF6" i="11" s="1"/>
  <c r="CE5" i="11"/>
  <c r="CE6" i="11" s="1"/>
  <c r="CD5" i="11"/>
  <c r="CD6" i="11" s="1"/>
  <c r="CC5" i="11"/>
  <c r="CC6" i="11" s="1"/>
  <c r="CB5" i="11"/>
  <c r="CB6" i="11" s="1"/>
  <c r="CA5" i="11"/>
  <c r="CA6" i="11" s="1"/>
  <c r="BZ5" i="11"/>
  <c r="BY5" i="11"/>
  <c r="BY6" i="11" s="1"/>
  <c r="BX5" i="11"/>
  <c r="BX6" i="11" s="1"/>
  <c r="BW5" i="11"/>
  <c r="BW6" i="11" s="1"/>
  <c r="BV5" i="11"/>
  <c r="BV6" i="11" s="1"/>
  <c r="BU5" i="11"/>
  <c r="BU6" i="11" s="1"/>
  <c r="BU4" i="11" s="1"/>
  <c r="BT5" i="11"/>
  <c r="BT6" i="11" s="1"/>
  <c r="BS5" i="11"/>
  <c r="BS6" i="11" s="1"/>
  <c r="BR5" i="11"/>
  <c r="BR6" i="11" s="1"/>
  <c r="BQ5" i="11"/>
  <c r="BQ6" i="11" s="1"/>
  <c r="BP5" i="11"/>
  <c r="BP6" i="11" s="1"/>
  <c r="BO5" i="11"/>
  <c r="BO6" i="11" s="1"/>
  <c r="BO4" i="11" s="1"/>
  <c r="BN5" i="11"/>
  <c r="BN6" i="11" s="1"/>
  <c r="BM5" i="11"/>
  <c r="BM6" i="11" s="1"/>
  <c r="BL5" i="11"/>
  <c r="BL6" i="11" s="1"/>
  <c r="BK5" i="11"/>
  <c r="BK6" i="11" s="1"/>
  <c r="BJ5" i="11"/>
  <c r="BI5" i="11"/>
  <c r="BI6" i="11" s="1"/>
  <c r="BH5" i="11"/>
  <c r="BH6" i="11" s="1"/>
  <c r="BG5" i="11"/>
  <c r="BG6" i="11" s="1"/>
  <c r="BF5" i="11"/>
  <c r="BF6" i="11" s="1"/>
  <c r="BE5" i="11"/>
  <c r="BE6" i="11" s="1"/>
  <c r="BE4" i="11" s="1"/>
  <c r="BD5" i="11"/>
  <c r="BD6" i="11" s="1"/>
  <c r="BC5" i="11"/>
  <c r="BC6" i="11" s="1"/>
  <c r="BB5" i="11"/>
  <c r="BB6" i="11" s="1"/>
  <c r="BA5" i="11"/>
  <c r="BA6" i="11" s="1"/>
  <c r="AZ5" i="11"/>
  <c r="AZ6" i="11" s="1"/>
  <c r="AY5" i="11"/>
  <c r="AY6" i="11" s="1"/>
  <c r="AY4" i="11" s="1"/>
  <c r="AX5" i="11"/>
  <c r="AX6" i="11" s="1"/>
  <c r="AW5" i="11"/>
  <c r="AW6" i="11" s="1"/>
  <c r="AV5" i="11"/>
  <c r="AV6" i="11" s="1"/>
  <c r="AU5" i="11"/>
  <c r="AU6" i="11" s="1"/>
  <c r="AT5" i="11"/>
  <c r="AS5" i="11"/>
  <c r="AS6" i="11" s="1"/>
  <c r="AR5" i="11"/>
  <c r="AR6" i="11" s="1"/>
  <c r="AQ5" i="11"/>
  <c r="AQ6" i="11" s="1"/>
  <c r="AP5" i="11"/>
  <c r="AP6" i="11" s="1"/>
  <c r="AO5" i="11"/>
  <c r="AO6" i="11" s="1"/>
  <c r="AO4" i="11" s="1"/>
  <c r="AN5" i="11"/>
  <c r="AN6" i="11" s="1"/>
  <c r="AM5" i="11"/>
  <c r="AM6" i="11" s="1"/>
  <c r="AL5" i="11"/>
  <c r="AL6" i="11" s="1"/>
  <c r="AK5" i="11"/>
  <c r="AK6" i="11" s="1"/>
  <c r="AJ5" i="11"/>
  <c r="AJ6" i="11" s="1"/>
  <c r="AI5" i="11"/>
  <c r="AI6" i="11" s="1"/>
  <c r="AI4" i="11" s="1"/>
  <c r="AH5" i="11"/>
  <c r="AH6" i="11" s="1"/>
  <c r="AG5" i="11"/>
  <c r="AG6" i="11" s="1"/>
  <c r="AF5" i="11"/>
  <c r="AF6" i="11" s="1"/>
  <c r="AE5" i="11"/>
  <c r="AD5" i="11"/>
  <c r="AD7" i="11" s="1"/>
  <c r="AC5" i="11"/>
  <c r="AB5" i="11"/>
  <c r="AA5" i="11"/>
  <c r="Z5" i="11"/>
  <c r="Z7" i="11" s="1"/>
  <c r="Y5" i="11"/>
  <c r="Y7" i="11" s="1"/>
  <c r="X5" i="11"/>
  <c r="W5" i="11"/>
  <c r="V5" i="11"/>
  <c r="V7" i="11" s="1"/>
  <c r="U5" i="11"/>
  <c r="U6" i="11" s="1"/>
  <c r="T5" i="11"/>
  <c r="T6" i="11" s="1"/>
  <c r="S5" i="11"/>
  <c r="S7" i="11" s="1"/>
  <c r="R5" i="11"/>
  <c r="R7" i="11" s="1"/>
  <c r="Q5" i="11"/>
  <c r="P5" i="11"/>
  <c r="P6" i="11" s="1"/>
  <c r="O5" i="11"/>
  <c r="N5" i="11"/>
  <c r="N7" i="11" s="1"/>
  <c r="M5" i="11"/>
  <c r="L5" i="11"/>
  <c r="K5" i="11"/>
  <c r="K6" i="11" s="1"/>
  <c r="J5" i="11"/>
  <c r="J7" i="11" s="1"/>
  <c r="I5" i="11"/>
  <c r="I7" i="11" s="1"/>
  <c r="H5" i="11"/>
  <c r="G5" i="11"/>
  <c r="F5" i="11"/>
  <c r="F7" i="11" s="1"/>
  <c r="E5" i="11"/>
  <c r="D5" i="11"/>
  <c r="D6" i="11" s="1"/>
  <c r="C5" i="11"/>
  <c r="C7" i="11" s="1"/>
  <c r="B5" i="11"/>
  <c r="B7" i="11" s="1"/>
  <c r="NJ4" i="11"/>
  <c r="NG4" i="11"/>
  <c r="NF4" i="11"/>
  <c r="NE4" i="11"/>
  <c r="NC4" i="11"/>
  <c r="NA4" i="11"/>
  <c r="MY4" i="11"/>
  <c r="MW4" i="11"/>
  <c r="MU4" i="11"/>
  <c r="MT4" i="11"/>
  <c r="MS4" i="11"/>
  <c r="MQ4" i="11"/>
  <c r="MP4" i="11"/>
  <c r="MO4" i="11"/>
  <c r="MM4" i="11"/>
  <c r="MK4" i="11"/>
  <c r="MI4" i="11"/>
  <c r="MG4" i="11"/>
  <c r="ME4" i="11"/>
  <c r="MD4" i="11"/>
  <c r="MC4" i="11"/>
  <c r="MA4" i="11"/>
  <c r="LZ4" i="11"/>
  <c r="LY4" i="11"/>
  <c r="LW4" i="11"/>
  <c r="LU4" i="11"/>
  <c r="LS4" i="11"/>
  <c r="LP4" i="11"/>
  <c r="LO4" i="11"/>
  <c r="LN4" i="11"/>
  <c r="LM4" i="11"/>
  <c r="LL4" i="11"/>
  <c r="LK4" i="11"/>
  <c r="LJ4" i="11"/>
  <c r="LI4" i="11"/>
  <c r="LH4" i="11"/>
  <c r="LF4" i="11"/>
  <c r="LE4" i="11"/>
  <c r="LC4" i="11"/>
  <c r="LB4" i="11"/>
  <c r="LA4" i="11"/>
  <c r="KX4" i="11"/>
  <c r="KW4" i="11"/>
  <c r="KV4" i="11"/>
  <c r="KU4" i="11"/>
  <c r="KT4" i="11"/>
  <c r="KS4" i="11"/>
  <c r="KR4" i="11"/>
  <c r="KP4" i="11"/>
  <c r="KO4" i="11"/>
  <c r="KM4" i="11"/>
  <c r="KL4" i="11"/>
  <c r="KK4" i="11"/>
  <c r="KH4" i="11"/>
  <c r="KG4" i="11"/>
  <c r="KF4" i="11"/>
  <c r="KE4" i="11"/>
  <c r="KD4" i="11"/>
  <c r="KC4" i="11"/>
  <c r="KB4" i="11"/>
  <c r="JZ4" i="11"/>
  <c r="JY4" i="11"/>
  <c r="JV4" i="11"/>
  <c r="JU4" i="11"/>
  <c r="JT4" i="11"/>
  <c r="JR4" i="11"/>
  <c r="JQ4" i="11"/>
  <c r="JN4" i="11"/>
  <c r="JM4" i="11"/>
  <c r="JL4" i="11"/>
  <c r="JJ4" i="11"/>
  <c r="JI4" i="11"/>
  <c r="JF4" i="11"/>
  <c r="JE4" i="11"/>
  <c r="JD4" i="11"/>
  <c r="JB4" i="11"/>
  <c r="JA4" i="11"/>
  <c r="IX4" i="11"/>
  <c r="IW4" i="11"/>
  <c r="IV4" i="11"/>
  <c r="IT4" i="11"/>
  <c r="IS4" i="11"/>
  <c r="IP4" i="11"/>
  <c r="IO4" i="11"/>
  <c r="IN4" i="11"/>
  <c r="IL4" i="11"/>
  <c r="IK4" i="11"/>
  <c r="IH4" i="11"/>
  <c r="IG4" i="11"/>
  <c r="IF4" i="11"/>
  <c r="ID4" i="11"/>
  <c r="IC4" i="11"/>
  <c r="HZ4" i="11"/>
  <c r="HY4" i="11"/>
  <c r="HX4" i="11"/>
  <c r="HV4" i="11"/>
  <c r="HU4" i="11"/>
  <c r="HR4" i="11"/>
  <c r="HQ4" i="11"/>
  <c r="HP4" i="11"/>
  <c r="HN4" i="11"/>
  <c r="HM4" i="11"/>
  <c r="HJ4" i="11"/>
  <c r="HI4" i="11"/>
  <c r="HH4" i="11"/>
  <c r="HF4" i="11"/>
  <c r="HE4" i="11"/>
  <c r="HB4" i="11"/>
  <c r="HA4" i="11"/>
  <c r="GZ4" i="11"/>
  <c r="GX4" i="11"/>
  <c r="GW4" i="11"/>
  <c r="GT4" i="11"/>
  <c r="GS4" i="11"/>
  <c r="GR4" i="11"/>
  <c r="GP4" i="11"/>
  <c r="GO4" i="11"/>
  <c r="GL4" i="11"/>
  <c r="GK4" i="11"/>
  <c r="GJ4" i="11"/>
  <c r="GH4" i="11"/>
  <c r="GG4" i="11"/>
  <c r="GD4" i="11"/>
  <c r="GC4" i="11"/>
  <c r="GB4" i="11"/>
  <c r="FZ4" i="11"/>
  <c r="FY4" i="11"/>
  <c r="FX4" i="11"/>
  <c r="FW4" i="11"/>
  <c r="FV4" i="11"/>
  <c r="FU4" i="11"/>
  <c r="FT4" i="11"/>
  <c r="FS4" i="11"/>
  <c r="FR4" i="11"/>
  <c r="FQ4" i="11"/>
  <c r="FP4" i="11"/>
  <c r="FO4" i="11"/>
  <c r="FN4" i="11"/>
  <c r="FM4" i="11"/>
  <c r="FL4" i="11"/>
  <c r="FK4" i="11"/>
  <c r="FJ4" i="11"/>
  <c r="FI4" i="11"/>
  <c r="FH4" i="11"/>
  <c r="FG4" i="11"/>
  <c r="FF4" i="11"/>
  <c r="FE4" i="11"/>
  <c r="FD4" i="11"/>
  <c r="FC4" i="11"/>
  <c r="FB4" i="11"/>
  <c r="FA4" i="11"/>
  <c r="EZ4" i="11"/>
  <c r="EY4" i="11"/>
  <c r="EX4" i="11"/>
  <c r="EW4" i="11"/>
  <c r="EV4" i="11"/>
  <c r="ET4" i="11"/>
  <c r="ES4" i="11"/>
  <c r="ER4" i="11"/>
  <c r="EQ4" i="11"/>
  <c r="EP4" i="11"/>
  <c r="EO4" i="11"/>
  <c r="EN4" i="11"/>
  <c r="EM4" i="11"/>
  <c r="EL4" i="11"/>
  <c r="EK4" i="11"/>
  <c r="EJ4" i="11"/>
  <c r="EI4" i="11"/>
  <c r="EH4" i="11"/>
  <c r="EG4" i="11"/>
  <c r="EF4" i="11"/>
  <c r="EE4" i="11"/>
  <c r="ED4" i="11"/>
  <c r="EC4" i="11"/>
  <c r="EB4" i="11"/>
  <c r="EA4" i="11"/>
  <c r="DZ4" i="11"/>
  <c r="DY4" i="11"/>
  <c r="DX4" i="11"/>
  <c r="DW4" i="11"/>
  <c r="DV4" i="11"/>
  <c r="DU4" i="11"/>
  <c r="DT4" i="11"/>
  <c r="DS4" i="11"/>
  <c r="DR4" i="11"/>
  <c r="DQ4" i="11"/>
  <c r="DP4" i="11"/>
  <c r="DN4" i="11"/>
  <c r="DM4" i="11"/>
  <c r="DL4" i="11"/>
  <c r="DK4" i="11"/>
  <c r="DJ4" i="11"/>
  <c r="DI4" i="11"/>
  <c r="DH4" i="11"/>
  <c r="DG4" i="11"/>
  <c r="DF4" i="11"/>
  <c r="DE4" i="11"/>
  <c r="DD4" i="11"/>
  <c r="DC4" i="11"/>
  <c r="DB4" i="11"/>
  <c r="DA4" i="11"/>
  <c r="CZ4" i="11"/>
  <c r="CY4" i="11"/>
  <c r="CX4" i="11"/>
  <c r="CW4" i="11"/>
  <c r="CV4" i="11"/>
  <c r="CU4" i="11"/>
  <c r="CT4" i="11"/>
  <c r="CS4" i="11"/>
  <c r="CR4" i="11"/>
  <c r="CP4" i="11"/>
  <c r="CO4" i="11"/>
  <c r="CN4" i="11"/>
  <c r="CM4" i="11"/>
  <c r="CL4" i="11"/>
  <c r="CK4" i="11"/>
  <c r="CJ4" i="11"/>
  <c r="CI4" i="11"/>
  <c r="CG4" i="11"/>
  <c r="CF4" i="11"/>
  <c r="CE4" i="11"/>
  <c r="CD4" i="11"/>
  <c r="CC4" i="11"/>
  <c r="CB4" i="11"/>
  <c r="CA4" i="11"/>
  <c r="BZ4" i="11"/>
  <c r="BY4" i="11"/>
  <c r="BX4" i="11"/>
  <c r="BW4" i="11"/>
  <c r="BV4" i="11"/>
  <c r="BT4" i="11"/>
  <c r="BS4" i="11"/>
  <c r="BR4" i="11"/>
  <c r="BQ4" i="11"/>
  <c r="BP4" i="11"/>
  <c r="BN4" i="11"/>
  <c r="BM4" i="11"/>
  <c r="BL4" i="11"/>
  <c r="BK4" i="11"/>
  <c r="BI4" i="11"/>
  <c r="BH4" i="11"/>
  <c r="BG4" i="11"/>
  <c r="BF4" i="11"/>
  <c r="BD4" i="11"/>
  <c r="BC4" i="11"/>
  <c r="BB4" i="11"/>
  <c r="BA4" i="11"/>
  <c r="AZ4" i="11"/>
  <c r="AX4" i="11"/>
  <c r="AW4" i="11"/>
  <c r="AV4" i="11"/>
  <c r="AU4" i="11"/>
  <c r="AT4" i="11"/>
  <c r="AS4" i="11"/>
  <c r="AR4" i="11"/>
  <c r="AQ4" i="11"/>
  <c r="AP4" i="11"/>
  <c r="AN4" i="11"/>
  <c r="AM4" i="11"/>
  <c r="AL4" i="11"/>
  <c r="AK4" i="11"/>
  <c r="AJ4" i="11"/>
  <c r="AH4" i="11"/>
  <c r="AG4" i="11"/>
  <c r="AF4" i="11"/>
  <c r="AD4" i="11"/>
  <c r="U4" i="11"/>
  <c r="T4" i="11"/>
  <c r="P4" i="11"/>
  <c r="N4" i="11"/>
  <c r="K4" i="11"/>
  <c r="D4" i="11"/>
  <c r="NJ3" i="11"/>
  <c r="NI3" i="11"/>
  <c r="NH3" i="11"/>
  <c r="NG3" i="11"/>
  <c r="NF3" i="11"/>
  <c r="NE3" i="11"/>
  <c r="ND3" i="11"/>
  <c r="NC3" i="11"/>
  <c r="NB3" i="11"/>
  <c r="NA3" i="11"/>
  <c r="MZ3" i="11"/>
  <c r="MY3" i="11"/>
  <c r="MX3" i="11"/>
  <c r="MW3" i="11"/>
  <c r="MV3" i="11"/>
  <c r="MU3" i="11"/>
  <c r="MT3" i="11"/>
  <c r="MS3" i="11"/>
  <c r="MR3" i="11"/>
  <c r="MQ3" i="11"/>
  <c r="MP3" i="11"/>
  <c r="MO3" i="11"/>
  <c r="MN3" i="11"/>
  <c r="MM3" i="11"/>
  <c r="ML3" i="11"/>
  <c r="MK3" i="11"/>
  <c r="MJ3" i="11"/>
  <c r="MI3" i="11"/>
  <c r="MH3" i="11"/>
  <c r="MG3" i="11"/>
  <c r="MF3" i="11"/>
  <c r="ME3" i="11"/>
  <c r="MD3" i="11"/>
  <c r="MC3" i="11"/>
  <c r="MB3" i="11"/>
  <c r="MA3" i="11"/>
  <c r="LZ3" i="11"/>
  <c r="LY3" i="11"/>
  <c r="LX3" i="11"/>
  <c r="LW3" i="11"/>
  <c r="LV3" i="11"/>
  <c r="LU3" i="11"/>
  <c r="LT3" i="11"/>
  <c r="LS3" i="11"/>
  <c r="LR3" i="11"/>
  <c r="LQ3" i="11"/>
  <c r="LP3" i="11"/>
  <c r="LO3" i="11"/>
  <c r="LN3" i="11"/>
  <c r="LM3" i="11"/>
  <c r="LL3" i="11"/>
  <c r="LK3" i="11"/>
  <c r="LJ3" i="11"/>
  <c r="LI3" i="11"/>
  <c r="LH3" i="11"/>
  <c r="LG3" i="11"/>
  <c r="LF3" i="11"/>
  <c r="LE3" i="11"/>
  <c r="LD3" i="11"/>
  <c r="LC3" i="11"/>
  <c r="LB3" i="11"/>
  <c r="LA3" i="11"/>
  <c r="KZ3" i="11"/>
  <c r="KY3" i="11"/>
  <c r="KX3" i="11"/>
  <c r="KW3" i="11"/>
  <c r="KV3" i="11"/>
  <c r="KU3" i="11"/>
  <c r="KT3" i="11"/>
  <c r="KS3" i="11"/>
  <c r="KR3" i="11"/>
  <c r="KQ3" i="11"/>
  <c r="KP3" i="11"/>
  <c r="KO3" i="11"/>
  <c r="KN3" i="11"/>
  <c r="KM3" i="11"/>
  <c r="KL3" i="11"/>
  <c r="KK3" i="11"/>
  <c r="KJ3" i="11"/>
  <c r="KI3" i="11"/>
  <c r="KH3" i="11"/>
  <c r="KG3" i="11"/>
  <c r="KF3" i="11"/>
  <c r="KE3" i="11"/>
  <c r="KD3" i="11"/>
  <c r="KC3" i="11"/>
  <c r="KB3" i="11"/>
  <c r="KA3" i="11"/>
  <c r="JZ3" i="11"/>
  <c r="JY3" i="11"/>
  <c r="JX3" i="11"/>
  <c r="JW3" i="11"/>
  <c r="JV3" i="11"/>
  <c r="JU3" i="11"/>
  <c r="JT3" i="11"/>
  <c r="JS3" i="11"/>
  <c r="JR3" i="11"/>
  <c r="JQ3" i="11"/>
  <c r="JP3" i="11"/>
  <c r="JO3" i="11"/>
  <c r="JN3" i="11"/>
  <c r="JM3" i="11"/>
  <c r="JL3" i="11"/>
  <c r="JK3" i="11"/>
  <c r="JJ3" i="11"/>
  <c r="JI3" i="11"/>
  <c r="JH3" i="11"/>
  <c r="JG3" i="11"/>
  <c r="JF3" i="11"/>
  <c r="JE3" i="11"/>
  <c r="JD3" i="11"/>
  <c r="JC3" i="11"/>
  <c r="JB3" i="11"/>
  <c r="JA3" i="11"/>
  <c r="IZ3" i="11"/>
  <c r="IY3" i="11"/>
  <c r="IX3" i="11"/>
  <c r="IW3" i="11"/>
  <c r="IV3" i="11"/>
  <c r="IU3" i="11"/>
  <c r="IT3" i="11"/>
  <c r="IS3" i="11"/>
  <c r="IR3" i="11"/>
  <c r="IQ3" i="11"/>
  <c r="IP3" i="11"/>
  <c r="IO3" i="11"/>
  <c r="IN3" i="11"/>
  <c r="IM3" i="11"/>
  <c r="IL3" i="11"/>
  <c r="IK3" i="11"/>
  <c r="IJ3" i="11"/>
  <c r="II3" i="11"/>
  <c r="IH3" i="11"/>
  <c r="IG3" i="11"/>
  <c r="IF3" i="11"/>
  <c r="IE3" i="11"/>
  <c r="ID3" i="11"/>
  <c r="IC3" i="11"/>
  <c r="IB3" i="11"/>
  <c r="IA3" i="11"/>
  <c r="HZ3" i="11"/>
  <c r="HY3" i="11"/>
  <c r="HX3" i="11"/>
  <c r="HW3" i="11"/>
  <c r="HV3" i="11"/>
  <c r="HU3" i="11"/>
  <c r="HT3" i="11"/>
  <c r="HS3" i="11"/>
  <c r="HR3" i="11"/>
  <c r="HQ3" i="11"/>
  <c r="HP3" i="11"/>
  <c r="HO3" i="11"/>
  <c r="HN3" i="11"/>
  <c r="HM3" i="11"/>
  <c r="HL3" i="11"/>
  <c r="HK3" i="11"/>
  <c r="HJ3" i="11"/>
  <c r="HI3" i="11"/>
  <c r="HH3" i="11"/>
  <c r="HG3" i="11"/>
  <c r="HF3" i="11"/>
  <c r="HE3" i="11"/>
  <c r="HD3" i="11"/>
  <c r="HC3" i="11"/>
  <c r="HB3" i="11"/>
  <c r="HA3" i="11"/>
  <c r="GZ3" i="11"/>
  <c r="GY3" i="11"/>
  <c r="GX3" i="11"/>
  <c r="GW3" i="11"/>
  <c r="GV3" i="11"/>
  <c r="GU3" i="11"/>
  <c r="GT3" i="11"/>
  <c r="GS3" i="11"/>
  <c r="GR3" i="11"/>
  <c r="GQ3" i="11"/>
  <c r="GP3" i="11"/>
  <c r="GO3" i="11"/>
  <c r="GN3" i="11"/>
  <c r="GM3" i="11"/>
  <c r="GL3" i="11"/>
  <c r="GK3" i="11"/>
  <c r="GJ3" i="11"/>
  <c r="GI3" i="11"/>
  <c r="GH3" i="11"/>
  <c r="GG3" i="11"/>
  <c r="GF3" i="11"/>
  <c r="GE3" i="11"/>
  <c r="GD3" i="11"/>
  <c r="GC3" i="11"/>
  <c r="GB3" i="11"/>
  <c r="GA3" i="11"/>
  <c r="FZ3" i="11"/>
  <c r="FY3" i="11"/>
  <c r="FX3" i="11"/>
  <c r="FW3" i="11"/>
  <c r="FV3" i="11"/>
  <c r="FU3" i="11"/>
  <c r="FT3" i="11"/>
  <c r="FS3" i="11"/>
  <c r="FR3" i="11"/>
  <c r="FQ3" i="11"/>
  <c r="FP3" i="11"/>
  <c r="FO3" i="11"/>
  <c r="FN3" i="11"/>
  <c r="FM3" i="11"/>
  <c r="FL3" i="11"/>
  <c r="FK3" i="11"/>
  <c r="FJ3" i="11"/>
  <c r="FI3" i="11"/>
  <c r="FH3" i="11"/>
  <c r="FG3" i="11"/>
  <c r="FF3" i="11"/>
  <c r="FE3" i="11"/>
  <c r="FD3" i="11"/>
  <c r="FC3" i="11"/>
  <c r="FB3" i="11"/>
  <c r="FA3" i="11"/>
  <c r="EZ3" i="11"/>
  <c r="EY3" i="11"/>
  <c r="EX3" i="11"/>
  <c r="EW3" i="11"/>
  <c r="EV3" i="11"/>
  <c r="EU3" i="11"/>
  <c r="ET3" i="11"/>
  <c r="ES3" i="11"/>
  <c r="ER3" i="11"/>
  <c r="EQ3" i="11"/>
  <c r="EP3" i="11"/>
  <c r="EO3" i="11"/>
  <c r="EN3" i="11"/>
  <c r="EM3" i="11"/>
  <c r="EL3" i="11"/>
  <c r="EK3" i="11"/>
  <c r="EJ3" i="11"/>
  <c r="EI3" i="11"/>
  <c r="EH3" i="11"/>
  <c r="EG3" i="11"/>
  <c r="EF3" i="11"/>
  <c r="EE3" i="11"/>
  <c r="ED3" i="11"/>
  <c r="EC3" i="11"/>
  <c r="EB3" i="11"/>
  <c r="EA3" i="11"/>
  <c r="DZ3" i="11"/>
  <c r="DY3" i="11"/>
  <c r="DX3" i="11"/>
  <c r="DW3" i="11"/>
  <c r="DV3" i="11"/>
  <c r="DU3" i="11"/>
  <c r="DT3" i="11"/>
  <c r="DS3" i="11"/>
  <c r="DR3" i="11"/>
  <c r="DQ3" i="11"/>
  <c r="DP3" i="11"/>
  <c r="DO3" i="11"/>
  <c r="DN3" i="11"/>
  <c r="DM3" i="11"/>
  <c r="DL3" i="11"/>
  <c r="DK3" i="11"/>
  <c r="DJ3" i="11"/>
  <c r="DI3" i="11"/>
  <c r="DH3" i="11"/>
  <c r="DG3" i="11"/>
  <c r="DF3" i="11"/>
  <c r="DE3" i="11"/>
  <c r="DD3" i="11"/>
  <c r="DC3" i="11"/>
  <c r="DB3" i="11"/>
  <c r="DA3" i="11"/>
  <c r="CZ3" i="11"/>
  <c r="CY3" i="11"/>
  <c r="CX3" i="11"/>
  <c r="CW3" i="11"/>
  <c r="CV3" i="11"/>
  <c r="CU3" i="11"/>
  <c r="CT3" i="11"/>
  <c r="CS3" i="11"/>
  <c r="CR3" i="11"/>
  <c r="CP3" i="11"/>
  <c r="CO3" i="11"/>
  <c r="CN3" i="11"/>
  <c r="CM3" i="11"/>
  <c r="CL3"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AQ3" i="11"/>
  <c r="AP3" i="11"/>
  <c r="AO3" i="11"/>
  <c r="AN3" i="11"/>
  <c r="AM3" i="11"/>
  <c r="AL3" i="11"/>
  <c r="AK3" i="11"/>
  <c r="AJ3" i="11"/>
  <c r="AI3" i="11"/>
  <c r="AH3" i="11"/>
  <c r="AG3" i="11"/>
  <c r="AF3" i="11"/>
  <c r="AE3" i="11"/>
  <c r="AD3" i="11"/>
  <c r="AC3" i="11"/>
  <c r="AB3" i="11"/>
  <c r="AA3" i="11"/>
  <c r="Z3" i="11"/>
  <c r="Y3" i="11"/>
  <c r="X3" i="11"/>
  <c r="W3" i="11"/>
  <c r="V3" i="11"/>
  <c r="U3" i="11"/>
  <c r="T3" i="11"/>
  <c r="S3" i="11"/>
  <c r="R3" i="11"/>
  <c r="Q3" i="11"/>
  <c r="P3" i="11"/>
  <c r="O3" i="11"/>
  <c r="N3" i="11"/>
  <c r="M3" i="11"/>
  <c r="L3" i="11"/>
  <c r="K3" i="11"/>
  <c r="J3" i="11"/>
  <c r="I3" i="11"/>
  <c r="H3" i="11"/>
  <c r="G3" i="11"/>
  <c r="F3" i="11"/>
  <c r="E3" i="11"/>
  <c r="D3" i="11"/>
  <c r="C3" i="11"/>
  <c r="B3" i="11"/>
  <c r="AB3" i="8"/>
  <c r="NK84" i="12" l="1" a="1"/>
  <c r="NK84" i="12" s="1"/>
  <c r="NQ84" i="12"/>
  <c r="NL85" i="12"/>
  <c r="NN85" i="12"/>
  <c r="NU85" i="12"/>
  <c r="NL84" i="12"/>
  <c r="NR84" i="12"/>
  <c r="NM85" i="12"/>
  <c r="NS85" i="12"/>
  <c r="NS84" i="12"/>
  <c r="NT85" i="12"/>
  <c r="NM84" i="12"/>
  <c r="NN84" i="12"/>
  <c r="NT84" i="12"/>
  <c r="NO85" i="12"/>
  <c r="NO84" i="12"/>
  <c r="NU84" i="12"/>
  <c r="NP85" i="12"/>
  <c r="NQ85" i="12"/>
  <c r="NP84" i="12"/>
  <c r="NK85" i="12" a="1"/>
  <c r="NK85" i="12" s="1"/>
  <c r="NR85" i="12"/>
  <c r="W6" i="12"/>
  <c r="W4" i="12" s="1"/>
  <c r="E6" i="12"/>
  <c r="E4" i="12" s="1"/>
  <c r="F7" i="12"/>
  <c r="V7" i="12"/>
  <c r="G6" i="12"/>
  <c r="G4" i="12" s="1"/>
  <c r="AA6" i="12"/>
  <c r="AA4" i="12" s="1"/>
  <c r="J7" i="12"/>
  <c r="Z7" i="12"/>
  <c r="NT9" i="12"/>
  <c r="K6" i="12"/>
  <c r="K4" i="12" s="1"/>
  <c r="NK36" i="12" a="1"/>
  <c r="NK36" i="12" s="1"/>
  <c r="NO36" i="12"/>
  <c r="NS36" i="12"/>
  <c r="NL37" i="12"/>
  <c r="NP37" i="12"/>
  <c r="NT37" i="12"/>
  <c r="NM38" i="12"/>
  <c r="NQ38" i="12"/>
  <c r="NU38" i="12"/>
  <c r="NN39" i="12"/>
  <c r="NR39" i="12"/>
  <c r="NK40" i="12" a="1"/>
  <c r="NK40" i="12" s="1"/>
  <c r="NO40" i="12"/>
  <c r="NS40" i="12"/>
  <c r="NL41" i="12"/>
  <c r="NP41" i="12"/>
  <c r="NT41" i="12"/>
  <c r="NM42" i="12"/>
  <c r="NQ42" i="12"/>
  <c r="NU42" i="12"/>
  <c r="NN43" i="12"/>
  <c r="NR43" i="12"/>
  <c r="NK44" i="12" a="1"/>
  <c r="NK44" i="12" s="1"/>
  <c r="NO44" i="12"/>
  <c r="NS44" i="12"/>
  <c r="NL45" i="12"/>
  <c r="NP45" i="12"/>
  <c r="NT45" i="12"/>
  <c r="NM46" i="12"/>
  <c r="NQ46" i="12"/>
  <c r="NU46" i="12"/>
  <c r="NN47" i="12"/>
  <c r="NR47" i="12"/>
  <c r="NK48" i="12" a="1"/>
  <c r="NK48" i="12" s="1"/>
  <c r="NO48" i="12"/>
  <c r="NS48" i="12"/>
  <c r="NL49" i="12"/>
  <c r="NP49" i="12"/>
  <c r="NT49" i="12"/>
  <c r="NM50" i="12"/>
  <c r="NQ50" i="12"/>
  <c r="NU50" i="12"/>
  <c r="NN51" i="12"/>
  <c r="NR51" i="12"/>
  <c r="NK52" i="12" a="1"/>
  <c r="NK52" i="12" s="1"/>
  <c r="NO52" i="12"/>
  <c r="NS52" i="12"/>
  <c r="NL53" i="12"/>
  <c r="NP53" i="12"/>
  <c r="NT53" i="12"/>
  <c r="NM54" i="12"/>
  <c r="NQ54" i="12"/>
  <c r="NU54" i="12"/>
  <c r="NN55" i="12"/>
  <c r="NR55" i="12"/>
  <c r="NK56" i="12" a="1"/>
  <c r="NK56" i="12" s="1"/>
  <c r="NO56" i="12"/>
  <c r="NS56" i="12"/>
  <c r="NL57" i="12"/>
  <c r="NP57" i="12"/>
  <c r="NT57" i="12"/>
  <c r="NM58" i="12"/>
  <c r="NQ58" i="12"/>
  <c r="NU58" i="12"/>
  <c r="NN59" i="12"/>
  <c r="NR59" i="12"/>
  <c r="NK60" i="12" a="1"/>
  <c r="NK60" i="12" s="1"/>
  <c r="NO60" i="12"/>
  <c r="NS60" i="12"/>
  <c r="NL61" i="12"/>
  <c r="NP61" i="12"/>
  <c r="NT61" i="12"/>
  <c r="NM62" i="12"/>
  <c r="NQ62" i="12"/>
  <c r="NU62" i="12"/>
  <c r="NN63" i="12"/>
  <c r="NR63" i="12"/>
  <c r="NK64" i="12" a="1"/>
  <c r="NK64" i="12" s="1"/>
  <c r="NO64" i="12"/>
  <c r="NS64" i="12"/>
  <c r="NL65" i="12"/>
  <c r="NP65" i="12"/>
  <c r="NT65" i="12"/>
  <c r="NM66" i="12"/>
  <c r="NQ66" i="12"/>
  <c r="NL36" i="12"/>
  <c r="NP36" i="12"/>
  <c r="NT36" i="12"/>
  <c r="NM37" i="12"/>
  <c r="NQ37" i="12"/>
  <c r="NU37" i="12"/>
  <c r="NN38" i="12"/>
  <c r="NR38" i="12"/>
  <c r="NK39" i="12" a="1"/>
  <c r="NK39" i="12" s="1"/>
  <c r="NO39" i="12"/>
  <c r="NS39" i="12"/>
  <c r="NL40" i="12"/>
  <c r="NP40" i="12"/>
  <c r="NT40" i="12"/>
  <c r="NM41" i="12"/>
  <c r="NQ41" i="12"/>
  <c r="NU41" i="12"/>
  <c r="NN42" i="12"/>
  <c r="NR42" i="12"/>
  <c r="NK43" i="12" a="1"/>
  <c r="NK43" i="12" s="1"/>
  <c r="NO43" i="12"/>
  <c r="NS43" i="12"/>
  <c r="NL44" i="12"/>
  <c r="NP44" i="12"/>
  <c r="NT44" i="12"/>
  <c r="NM45" i="12"/>
  <c r="NQ45" i="12"/>
  <c r="NU45" i="12"/>
  <c r="NN46" i="12"/>
  <c r="NR46" i="12"/>
  <c r="NK47" i="12" a="1"/>
  <c r="NK47" i="12" s="1"/>
  <c r="NO47" i="12"/>
  <c r="NS47" i="12"/>
  <c r="NL48" i="12"/>
  <c r="NP48" i="12"/>
  <c r="NT48" i="12"/>
  <c r="NM49" i="12"/>
  <c r="NQ49" i="12"/>
  <c r="NU49" i="12"/>
  <c r="NN50" i="12"/>
  <c r="NR50" i="12"/>
  <c r="NK51" i="12" a="1"/>
  <c r="NK51" i="12" s="1"/>
  <c r="NO51" i="12"/>
  <c r="NS51" i="12"/>
  <c r="NL52" i="12"/>
  <c r="NP52" i="12"/>
  <c r="NT52" i="12"/>
  <c r="NM53" i="12"/>
  <c r="NQ53" i="12"/>
  <c r="NU53" i="12"/>
  <c r="NN54" i="12"/>
  <c r="NR54" i="12"/>
  <c r="NK55" i="12" a="1"/>
  <c r="NK55" i="12" s="1"/>
  <c r="NO55" i="12"/>
  <c r="NS55" i="12"/>
  <c r="NL56" i="12"/>
  <c r="NP56" i="12"/>
  <c r="NT56" i="12"/>
  <c r="NM57" i="12"/>
  <c r="NQ57" i="12"/>
  <c r="NU57" i="12"/>
  <c r="NN58" i="12"/>
  <c r="NR58" i="12"/>
  <c r="NK59" i="12" a="1"/>
  <c r="NK59" i="12" s="1"/>
  <c r="NO59" i="12"/>
  <c r="NS59" i="12"/>
  <c r="NL60" i="12"/>
  <c r="NP60" i="12"/>
  <c r="NT60" i="12"/>
  <c r="NM61" i="12"/>
  <c r="NQ61" i="12"/>
  <c r="NU61" i="12"/>
  <c r="NN62" i="12"/>
  <c r="NR62" i="12"/>
  <c r="NM36" i="12"/>
  <c r="NQ36" i="12"/>
  <c r="NU36" i="12"/>
  <c r="NN37" i="12"/>
  <c r="NR37" i="12"/>
  <c r="NK38" i="12" a="1"/>
  <c r="NK38" i="12" s="1"/>
  <c r="NO38" i="12"/>
  <c r="NS38" i="12"/>
  <c r="NL39" i="12"/>
  <c r="NP39" i="12"/>
  <c r="NT39" i="12"/>
  <c r="NM40" i="12"/>
  <c r="NQ40" i="12"/>
  <c r="NU40" i="12"/>
  <c r="NN41" i="12"/>
  <c r="NR41" i="12"/>
  <c r="NK42" i="12" a="1"/>
  <c r="NK42" i="12" s="1"/>
  <c r="NO42" i="12"/>
  <c r="NS42" i="12"/>
  <c r="NL43" i="12"/>
  <c r="NP43" i="12"/>
  <c r="NT43" i="12"/>
  <c r="NM44" i="12"/>
  <c r="NQ44" i="12"/>
  <c r="NU44" i="12"/>
  <c r="NN45" i="12"/>
  <c r="NR45" i="12"/>
  <c r="NK46" i="12" a="1"/>
  <c r="NK46" i="12" s="1"/>
  <c r="NO46" i="12"/>
  <c r="NS46" i="12"/>
  <c r="NL47" i="12"/>
  <c r="NP47" i="12"/>
  <c r="NT47" i="12"/>
  <c r="NM48" i="12"/>
  <c r="NQ48" i="12"/>
  <c r="NU48" i="12"/>
  <c r="NN49" i="12"/>
  <c r="NR49" i="12"/>
  <c r="NK50" i="12" a="1"/>
  <c r="NK50" i="12" s="1"/>
  <c r="NO50" i="12"/>
  <c r="NS50" i="12"/>
  <c r="NL51" i="12"/>
  <c r="NP51" i="12"/>
  <c r="NT51" i="12"/>
  <c r="NM52" i="12"/>
  <c r="NQ52" i="12"/>
  <c r="NU52" i="12"/>
  <c r="NN53" i="12"/>
  <c r="NR53" i="12"/>
  <c r="NK54" i="12" a="1"/>
  <c r="NK54" i="12" s="1"/>
  <c r="NO54" i="12"/>
  <c r="NS54" i="12"/>
  <c r="NL55" i="12"/>
  <c r="NP55" i="12"/>
  <c r="NT55" i="12"/>
  <c r="NM56" i="12"/>
  <c r="NQ56" i="12"/>
  <c r="NU56" i="12"/>
  <c r="NN57" i="12"/>
  <c r="NR57" i="12"/>
  <c r="NK58" i="12" a="1"/>
  <c r="NK58" i="12" s="1"/>
  <c r="NO58" i="12"/>
  <c r="NS58" i="12"/>
  <c r="NL59" i="12"/>
  <c r="NP59" i="12"/>
  <c r="NT59" i="12"/>
  <c r="NM60" i="12"/>
  <c r="NQ60" i="12"/>
  <c r="NU60" i="12"/>
  <c r="NN61" i="12"/>
  <c r="NR61" i="12"/>
  <c r="NK62" i="12" a="1"/>
  <c r="NK62" i="12" s="1"/>
  <c r="NO62" i="12"/>
  <c r="NS62" i="12"/>
  <c r="NL63" i="12"/>
  <c r="NP63" i="12"/>
  <c r="NN36" i="12"/>
  <c r="NR36" i="12"/>
  <c r="NK37" i="12" a="1"/>
  <c r="NK37" i="12" s="1"/>
  <c r="NO37" i="12"/>
  <c r="NT38" i="12"/>
  <c r="NN40" i="12"/>
  <c r="NS41" i="12"/>
  <c r="NM43" i="12"/>
  <c r="NR44" i="12"/>
  <c r="NL46" i="12"/>
  <c r="NQ47" i="12"/>
  <c r="NK49" i="12" a="1"/>
  <c r="NK49" i="12" s="1"/>
  <c r="NP50" i="12"/>
  <c r="NU51" i="12"/>
  <c r="NO53" i="12"/>
  <c r="NT54" i="12"/>
  <c r="NN56" i="12"/>
  <c r="NS57" i="12"/>
  <c r="NM59" i="12"/>
  <c r="NR60" i="12"/>
  <c r="NL62" i="12"/>
  <c r="NM63" i="12"/>
  <c r="NT63" i="12"/>
  <c r="NN64" i="12"/>
  <c r="NT64" i="12"/>
  <c r="NN65" i="12"/>
  <c r="NS65" i="12"/>
  <c r="NN66" i="12"/>
  <c r="NS66" i="12"/>
  <c r="NL67" i="12"/>
  <c r="NP67" i="12"/>
  <c r="NT67" i="12"/>
  <c r="NM68" i="12"/>
  <c r="NQ68" i="12"/>
  <c r="NU68" i="12"/>
  <c r="NN69" i="12"/>
  <c r="NR69" i="12"/>
  <c r="NK70" i="12" a="1"/>
  <c r="NK70" i="12" s="1"/>
  <c r="NO70" i="12"/>
  <c r="NS70" i="12"/>
  <c r="NL71" i="12"/>
  <c r="NP71" i="12"/>
  <c r="NT71" i="12"/>
  <c r="NM72" i="12"/>
  <c r="NQ72" i="12"/>
  <c r="NU72" i="12"/>
  <c r="NN73" i="12"/>
  <c r="NR73" i="12"/>
  <c r="NK74" i="12" a="1"/>
  <c r="NK74" i="12" s="1"/>
  <c r="NO74" i="12"/>
  <c r="NS74" i="12"/>
  <c r="NL75" i="12"/>
  <c r="NP75" i="12"/>
  <c r="NT75" i="12"/>
  <c r="NM76" i="12"/>
  <c r="NQ76" i="12"/>
  <c r="NU76" i="12"/>
  <c r="NN77" i="12"/>
  <c r="NR77" i="12"/>
  <c r="NK78" i="12" a="1"/>
  <c r="NK78" i="12" s="1"/>
  <c r="NO78" i="12"/>
  <c r="NS78" i="12"/>
  <c r="NL79" i="12"/>
  <c r="NP79" i="12"/>
  <c r="NT79" i="12"/>
  <c r="NM80" i="12"/>
  <c r="NQ80" i="12"/>
  <c r="NU80" i="12"/>
  <c r="NN81" i="12"/>
  <c r="NR81" i="12"/>
  <c r="NK82" i="12" a="1"/>
  <c r="NK82" i="12" s="1"/>
  <c r="NO82" i="12"/>
  <c r="NS82" i="12"/>
  <c r="NL83" i="12"/>
  <c r="NP83" i="12"/>
  <c r="NT83" i="12"/>
  <c r="NR83" i="12"/>
  <c r="NS37" i="12"/>
  <c r="NM39" i="12"/>
  <c r="NR40" i="12"/>
  <c r="NL42" i="12"/>
  <c r="NQ43" i="12"/>
  <c r="NK45" i="12" a="1"/>
  <c r="NK45" i="12" s="1"/>
  <c r="NP46" i="12"/>
  <c r="NU47" i="12"/>
  <c r="NO49" i="12"/>
  <c r="NT50" i="12"/>
  <c r="NN52" i="12"/>
  <c r="NS53" i="12"/>
  <c r="NM55" i="12"/>
  <c r="NR56" i="12"/>
  <c r="NL58" i="12"/>
  <c r="NQ59" i="12"/>
  <c r="NK61" i="12" a="1"/>
  <c r="NK61" i="12" s="1"/>
  <c r="NP62" i="12"/>
  <c r="NO63" i="12"/>
  <c r="NU63" i="12"/>
  <c r="NP64" i="12"/>
  <c r="NU64" i="12"/>
  <c r="NO65" i="12"/>
  <c r="NU65" i="12"/>
  <c r="NO66" i="12"/>
  <c r="NT66" i="12"/>
  <c r="NM67" i="12"/>
  <c r="NQ67" i="12"/>
  <c r="NU67" i="12"/>
  <c r="NN68" i="12"/>
  <c r="NR68" i="12"/>
  <c r="NK69" i="12" a="1"/>
  <c r="NK69" i="12" s="1"/>
  <c r="NO69" i="12"/>
  <c r="NS69" i="12"/>
  <c r="NL70" i="12"/>
  <c r="NP70" i="12"/>
  <c r="NT70" i="12"/>
  <c r="NM71" i="12"/>
  <c r="NQ71" i="12"/>
  <c r="NU71" i="12"/>
  <c r="NN72" i="12"/>
  <c r="NR72" i="12"/>
  <c r="NK73" i="12" a="1"/>
  <c r="NK73" i="12" s="1"/>
  <c r="NO73" i="12"/>
  <c r="NS73" i="12"/>
  <c r="NL74" i="12"/>
  <c r="NP74" i="12"/>
  <c r="NT74" i="12"/>
  <c r="NM75" i="12"/>
  <c r="NQ75" i="12"/>
  <c r="NU75" i="12"/>
  <c r="NN76" i="12"/>
  <c r="NR76" i="12"/>
  <c r="NK77" i="12" a="1"/>
  <c r="NK77" i="12" s="1"/>
  <c r="NO77" i="12"/>
  <c r="NS77" i="12"/>
  <c r="NL78" i="12"/>
  <c r="NP78" i="12"/>
  <c r="NT78" i="12"/>
  <c r="NM79" i="12"/>
  <c r="NQ79" i="12"/>
  <c r="NU79" i="12"/>
  <c r="NN80" i="12"/>
  <c r="NR80" i="12"/>
  <c r="NK81" i="12" a="1"/>
  <c r="NK81" i="12" s="1"/>
  <c r="NO81" i="12"/>
  <c r="NS81" i="12"/>
  <c r="NL82" i="12"/>
  <c r="NP82" i="12"/>
  <c r="NT82" i="12"/>
  <c r="NM83" i="12"/>
  <c r="NQ83" i="12"/>
  <c r="NU83" i="12"/>
  <c r="NO83" i="12"/>
  <c r="NL38" i="12"/>
  <c r="NQ39" i="12"/>
  <c r="NK41" i="12" a="1"/>
  <c r="NK41" i="12" s="1"/>
  <c r="NP42" i="12"/>
  <c r="NU43" i="12"/>
  <c r="NO45" i="12"/>
  <c r="NT46" i="12"/>
  <c r="NN48" i="12"/>
  <c r="NS49" i="12"/>
  <c r="NM51" i="12"/>
  <c r="NR52" i="12"/>
  <c r="NL54" i="12"/>
  <c r="NQ55" i="12"/>
  <c r="NK57" i="12" a="1"/>
  <c r="NK57" i="12" s="1"/>
  <c r="NP58" i="12"/>
  <c r="NU59" i="12"/>
  <c r="NO61" i="12"/>
  <c r="NT62" i="12"/>
  <c r="NQ63" i="12"/>
  <c r="NL64" i="12"/>
  <c r="NQ64" i="12"/>
  <c r="NK65" i="12" a="1"/>
  <c r="NK65" i="12" s="1"/>
  <c r="NQ65" i="12"/>
  <c r="NK66" i="12" a="1"/>
  <c r="NK66" i="12" s="1"/>
  <c r="NP66" i="12"/>
  <c r="NU66" i="12"/>
  <c r="NN67" i="12"/>
  <c r="NR67" i="12"/>
  <c r="NK68" i="12" a="1"/>
  <c r="NK68" i="12" s="1"/>
  <c r="NO68" i="12"/>
  <c r="NS68" i="12"/>
  <c r="NL69" i="12"/>
  <c r="NP69" i="12"/>
  <c r="NT69" i="12"/>
  <c r="NM70" i="12"/>
  <c r="NQ70" i="12"/>
  <c r="NU70" i="12"/>
  <c r="NN71" i="12"/>
  <c r="NR71" i="12"/>
  <c r="NK72" i="12" a="1"/>
  <c r="NK72" i="12" s="1"/>
  <c r="NO72" i="12"/>
  <c r="NS72" i="12"/>
  <c r="NL73" i="12"/>
  <c r="NP73" i="12"/>
  <c r="NT73" i="12"/>
  <c r="NM74" i="12"/>
  <c r="NQ74" i="12"/>
  <c r="NU74" i="12"/>
  <c r="NN75" i="12"/>
  <c r="NR75" i="12"/>
  <c r="NK76" i="12" a="1"/>
  <c r="NK76" i="12" s="1"/>
  <c r="NO76" i="12"/>
  <c r="NS76" i="12"/>
  <c r="NL77" i="12"/>
  <c r="NP77" i="12"/>
  <c r="NT77" i="12"/>
  <c r="NM78" i="12"/>
  <c r="NQ78" i="12"/>
  <c r="NU78" i="12"/>
  <c r="NN79" i="12"/>
  <c r="NR79" i="12"/>
  <c r="NK80" i="12" a="1"/>
  <c r="NK80" i="12" s="1"/>
  <c r="NO80" i="12"/>
  <c r="NS80" i="12"/>
  <c r="NL81" i="12"/>
  <c r="NP81" i="12"/>
  <c r="NT81" i="12"/>
  <c r="NM82" i="12"/>
  <c r="NQ82" i="12"/>
  <c r="NU82" i="12"/>
  <c r="NN83" i="12"/>
  <c r="NS83" i="12"/>
  <c r="NP38" i="12"/>
  <c r="NU39" i="12"/>
  <c r="NO41" i="12"/>
  <c r="NT42" i="12"/>
  <c r="NN44" i="12"/>
  <c r="NS45" i="12"/>
  <c r="NM47" i="12"/>
  <c r="NR48" i="12"/>
  <c r="NL50" i="12"/>
  <c r="NQ51" i="12"/>
  <c r="NK53" i="12" a="1"/>
  <c r="NK53" i="12" s="1"/>
  <c r="NP54" i="12"/>
  <c r="NU55" i="12"/>
  <c r="NO57" i="12"/>
  <c r="NT58" i="12"/>
  <c r="NN60" i="12"/>
  <c r="NS61" i="12"/>
  <c r="NK63" i="12" a="1"/>
  <c r="NK63" i="12" s="1"/>
  <c r="NS63" i="12"/>
  <c r="NM64" i="12"/>
  <c r="NR64" i="12"/>
  <c r="NM65" i="12"/>
  <c r="NR65" i="12"/>
  <c r="NL66" i="12"/>
  <c r="NR66" i="12"/>
  <c r="NK67" i="12" a="1"/>
  <c r="NK67" i="12" s="1"/>
  <c r="NO67" i="12"/>
  <c r="NS67" i="12"/>
  <c r="NL68" i="12"/>
  <c r="NP68" i="12"/>
  <c r="NT68" i="12"/>
  <c r="NM69" i="12"/>
  <c r="NQ69" i="12"/>
  <c r="NU69" i="12"/>
  <c r="NN70" i="12"/>
  <c r="NR70" i="12"/>
  <c r="NK71" i="12" a="1"/>
  <c r="NK71" i="12" s="1"/>
  <c r="NO71" i="12"/>
  <c r="NS71" i="12"/>
  <c r="NL72" i="12"/>
  <c r="NP72" i="12"/>
  <c r="NT72" i="12"/>
  <c r="NM73" i="12"/>
  <c r="NQ73" i="12"/>
  <c r="NU73" i="12"/>
  <c r="NN74" i="12"/>
  <c r="NR74" i="12"/>
  <c r="NK75" i="12" a="1"/>
  <c r="NK75" i="12" s="1"/>
  <c r="NO75" i="12"/>
  <c r="NS75" i="12"/>
  <c r="NL76" i="12"/>
  <c r="NP76" i="12"/>
  <c r="NT76" i="12"/>
  <c r="NM77" i="12"/>
  <c r="NQ77" i="12"/>
  <c r="NU77" i="12"/>
  <c r="NN78" i="12"/>
  <c r="NR78" i="12"/>
  <c r="NK79" i="12" a="1"/>
  <c r="NK79" i="12" s="1"/>
  <c r="NO79" i="12"/>
  <c r="NS79" i="12"/>
  <c r="NL80" i="12"/>
  <c r="NP80" i="12"/>
  <c r="NT80" i="12"/>
  <c r="NM81" i="12"/>
  <c r="NQ81" i="12"/>
  <c r="NU81" i="12"/>
  <c r="NN82" i="12"/>
  <c r="NR82" i="12"/>
  <c r="NK83" i="12" a="1"/>
  <c r="NK83" i="12" s="1"/>
  <c r="U6" i="12"/>
  <c r="U4" i="12" s="1"/>
  <c r="B7" i="12"/>
  <c r="R7" i="12"/>
  <c r="H7" i="12"/>
  <c r="H6" i="12"/>
  <c r="H4" i="12" s="1"/>
  <c r="AB7" i="12"/>
  <c r="AB6" i="12"/>
  <c r="AB4" i="12" s="1"/>
  <c r="P6" i="12"/>
  <c r="P4" i="12" s="1"/>
  <c r="AF6" i="12"/>
  <c r="AF4" i="12" s="1"/>
  <c r="NK24" i="12" a="1"/>
  <c r="NK24" i="12" s="1"/>
  <c r="NT19" i="12"/>
  <c r="NS12" i="12"/>
  <c r="NR26" i="12"/>
  <c r="NR21" i="12"/>
  <c r="NN16" i="12"/>
  <c r="NP14" i="12"/>
  <c r="NK33" i="12" a="1"/>
  <c r="NK33" i="12" s="1"/>
  <c r="D7" i="12"/>
  <c r="D6" i="12"/>
  <c r="D4" i="12" s="1"/>
  <c r="L7" i="12"/>
  <c r="L6" i="12"/>
  <c r="L4" i="12" s="1"/>
  <c r="T7" i="12"/>
  <c r="T6" i="12"/>
  <c r="T4" i="12" s="1"/>
  <c r="X7" i="12"/>
  <c r="X6" i="12"/>
  <c r="X4" i="12" s="1"/>
  <c r="NS8" i="12"/>
  <c r="Q6" i="12"/>
  <c r="Q4" i="12" s="1"/>
  <c r="AC7" i="12"/>
  <c r="NL11" i="12"/>
  <c r="NR14" i="12"/>
  <c r="NK20" i="12" a="1"/>
  <c r="NK20" i="12" s="1"/>
  <c r="NS26" i="12"/>
  <c r="C6" i="12"/>
  <c r="C4" i="12" s="1"/>
  <c r="M6" i="12"/>
  <c r="M4" i="12" s="1"/>
  <c r="S6" i="12"/>
  <c r="S4" i="12" s="1"/>
  <c r="NN9" i="12"/>
  <c r="NP10" i="12"/>
  <c r="NT11" i="12"/>
  <c r="NR13" i="12"/>
  <c r="NO15" i="12"/>
  <c r="NL17" i="12"/>
  <c r="NK19" i="12" a="1"/>
  <c r="NK19" i="12" s="1"/>
  <c r="NS20" i="12"/>
  <c r="NR22" i="12"/>
  <c r="NN25" i="12"/>
  <c r="NU35" i="12"/>
  <c r="NQ35" i="12"/>
  <c r="NM35" i="12"/>
  <c r="NU26" i="12"/>
  <c r="NQ26" i="12"/>
  <c r="NM26" i="12"/>
  <c r="NU25" i="12"/>
  <c r="NQ25" i="12"/>
  <c r="NM25" i="12"/>
  <c r="NU24" i="12"/>
  <c r="NQ24" i="12"/>
  <c r="NM24" i="12"/>
  <c r="NU23" i="12"/>
  <c r="NQ23" i="12"/>
  <c r="NM23" i="12"/>
  <c r="NU22" i="12"/>
  <c r="NQ22" i="12"/>
  <c r="NM22" i="12"/>
  <c r="NU21" i="12"/>
  <c r="NQ21" i="12"/>
  <c r="NM21" i="12"/>
  <c r="NU20" i="12"/>
  <c r="NQ20" i="12"/>
  <c r="NM20" i="12"/>
  <c r="NU19" i="12"/>
  <c r="NQ19" i="12"/>
  <c r="NM19" i="12"/>
  <c r="NU18" i="12"/>
  <c r="NQ18" i="12"/>
  <c r="NM18" i="12"/>
  <c r="NU17" i="12"/>
  <c r="NQ17" i="12"/>
  <c r="NM17" i="12"/>
  <c r="NU16" i="12"/>
  <c r="NQ16" i="12"/>
  <c r="NM16" i="12"/>
  <c r="NU15" i="12"/>
  <c r="NQ15" i="12"/>
  <c r="NM15" i="12"/>
  <c r="NU14" i="12"/>
  <c r="NQ14" i="12"/>
  <c r="NM14" i="12"/>
  <c r="NU13" i="12"/>
  <c r="NQ13" i="12"/>
  <c r="NM13" i="12"/>
  <c r="NU12" i="12"/>
  <c r="NQ12" i="12"/>
  <c r="NM12" i="12"/>
  <c r="NU11" i="12"/>
  <c r="NQ11" i="12"/>
  <c r="NM11" i="12"/>
  <c r="NU10" i="12"/>
  <c r="NQ10" i="12"/>
  <c r="NM10" i="12"/>
  <c r="NU9" i="12"/>
  <c r="NQ9" i="12"/>
  <c r="NM9" i="12"/>
  <c r="NU8" i="12"/>
  <c r="NQ8" i="12"/>
  <c r="NM8" i="12"/>
  <c r="NT35" i="12"/>
  <c r="NP35" i="12"/>
  <c r="NL35" i="12"/>
  <c r="NK34" i="12" a="1"/>
  <c r="NK34" i="12" s="1"/>
  <c r="NK32" i="12" a="1"/>
  <c r="NK32" i="12" s="1"/>
  <c r="NK30" i="12" a="1"/>
  <c r="NK30" i="12" s="1"/>
  <c r="NK28" i="12" a="1"/>
  <c r="NK28" i="12" s="1"/>
  <c r="NT26" i="12"/>
  <c r="NP26" i="12"/>
  <c r="NL26" i="12"/>
  <c r="NT25" i="12"/>
  <c r="NP25" i="12"/>
  <c r="NL25" i="12"/>
  <c r="NT24" i="12"/>
  <c r="NP24" i="12"/>
  <c r="NL24" i="12"/>
  <c r="NT23" i="12"/>
  <c r="NP23" i="12"/>
  <c r="NL23" i="12"/>
  <c r="NT22" i="12"/>
  <c r="NP22" i="12"/>
  <c r="NS35" i="12"/>
  <c r="NO26" i="12"/>
  <c r="NS25" i="12"/>
  <c r="NO24" i="12"/>
  <c r="NS23" i="12"/>
  <c r="NO22" i="12"/>
  <c r="NK22" i="12" a="1"/>
  <c r="NK22" i="12" s="1"/>
  <c r="NP21" i="12"/>
  <c r="NR20" i="12"/>
  <c r="NL20" i="12"/>
  <c r="NS19" i="12"/>
  <c r="NN19" i="12"/>
  <c r="NT18" i="12"/>
  <c r="NO18" i="12"/>
  <c r="NK18" i="12" a="1"/>
  <c r="NK18" i="12" s="1"/>
  <c r="NP17" i="12"/>
  <c r="NR16" i="12"/>
  <c r="NL16" i="12"/>
  <c r="NS15" i="12"/>
  <c r="NN15" i="12"/>
  <c r="NT14" i="12"/>
  <c r="NO14" i="12"/>
  <c r="NK14" i="12" a="1"/>
  <c r="NK14" i="12" s="1"/>
  <c r="NP13" i="12"/>
  <c r="NR12" i="12"/>
  <c r="NL12" i="12"/>
  <c r="NS11" i="12"/>
  <c r="NN11" i="12"/>
  <c r="NT10" i="12"/>
  <c r="NO10" i="12"/>
  <c r="NK10" i="12" a="1"/>
  <c r="NK10" i="12" s="1"/>
  <c r="NP9" i="12"/>
  <c r="NR8" i="12"/>
  <c r="NL8" i="12"/>
  <c r="NR35" i="12"/>
  <c r="NK35" i="12" a="1"/>
  <c r="NK35" i="12" s="1"/>
  <c r="NK31" i="12" a="1"/>
  <c r="NK31" i="12" s="1"/>
  <c r="NK27" i="12" a="1"/>
  <c r="NK27" i="12" s="1"/>
  <c r="NN26" i="12"/>
  <c r="NR25" i="12"/>
  <c r="NK25" i="12" a="1"/>
  <c r="NK25" i="12" s="1"/>
  <c r="NN24" i="12"/>
  <c r="NR23" i="12"/>
  <c r="NK23" i="12" a="1"/>
  <c r="NK23" i="12" s="1"/>
  <c r="NN22" i="12"/>
  <c r="NT21" i="12"/>
  <c r="NO21" i="12"/>
  <c r="NK21" i="12" a="1"/>
  <c r="NK21" i="12" s="1"/>
  <c r="NP20" i="12"/>
  <c r="NR19" i="12"/>
  <c r="NL19" i="12"/>
  <c r="NS18" i="12"/>
  <c r="NN18" i="12"/>
  <c r="NT17" i="12"/>
  <c r="NO17" i="12"/>
  <c r="NK17" i="12" a="1"/>
  <c r="NK17" i="12" s="1"/>
  <c r="NP16" i="12"/>
  <c r="NR15" i="12"/>
  <c r="NL15" i="12"/>
  <c r="NS14" i="12"/>
  <c r="NN14" i="12"/>
  <c r="NT13" i="12"/>
  <c r="NO13" i="12"/>
  <c r="NK13" i="12" a="1"/>
  <c r="NK13" i="12" s="1"/>
  <c r="NP12" i="12"/>
  <c r="NR11" i="12"/>
  <c r="NO35" i="12"/>
  <c r="NS24" i="12"/>
  <c r="NO23" i="12"/>
  <c r="NL22" i="12"/>
  <c r="NN21" i="12"/>
  <c r="NO20" i="12"/>
  <c r="NP19" i="12"/>
  <c r="NR18" i="12"/>
  <c r="NS17" i="12"/>
  <c r="NT16" i="12"/>
  <c r="NK16" i="12" a="1"/>
  <c r="NK16" i="12" s="1"/>
  <c r="NL14" i="12"/>
  <c r="NN13" i="12"/>
  <c r="NO12" i="12"/>
  <c r="NP11" i="12"/>
  <c r="NK11" i="12" a="1"/>
  <c r="NK11" i="12" s="1"/>
  <c r="NN10" i="12"/>
  <c r="NS9" i="12"/>
  <c r="NL9" i="12"/>
  <c r="NP8" i="12"/>
  <c r="NK8" i="12" a="1"/>
  <c r="NK8" i="12" s="1"/>
  <c r="NN35" i="12"/>
  <c r="NK29" i="12" a="1"/>
  <c r="NK29" i="12" s="1"/>
  <c r="NK26" i="12" a="1"/>
  <c r="NK26" i="12" s="1"/>
  <c r="NR24" i="12"/>
  <c r="NN23" i="12"/>
  <c r="NL21" i="12"/>
  <c r="NN20" i="12"/>
  <c r="NO19" i="12"/>
  <c r="NP18" i="12"/>
  <c r="NR17" i="12"/>
  <c r="NS16" i="12"/>
  <c r="NT15" i="12"/>
  <c r="NK15" i="12" a="1"/>
  <c r="NK15" i="12" s="1"/>
  <c r="NL13" i="12"/>
  <c r="NN12" i="12"/>
  <c r="NO11" i="12"/>
  <c r="NS10" i="12"/>
  <c r="NL10" i="12"/>
  <c r="NR9" i="12"/>
  <c r="NK9" i="12" a="1"/>
  <c r="NK9" i="12" s="1"/>
  <c r="NO8" i="12"/>
  <c r="NT8" i="12"/>
  <c r="NT12" i="12"/>
  <c r="NO16" i="12"/>
  <c r="NL18" i="12"/>
  <c r="NS21" i="12"/>
  <c r="I6" i="12"/>
  <c r="I4" i="12" s="1"/>
  <c r="O6" i="12"/>
  <c r="O4" i="12" s="1"/>
  <c r="Y6" i="12"/>
  <c r="Y4" i="12" s="1"/>
  <c r="AE6" i="12"/>
  <c r="AE4" i="12" s="1"/>
  <c r="NN8" i="12"/>
  <c r="NO9" i="12"/>
  <c r="NR10" i="12"/>
  <c r="NK12" i="12" a="1"/>
  <c r="NK12" i="12" s="1"/>
  <c r="NS13" i="12"/>
  <c r="NP15" i="12"/>
  <c r="NN17" i="12"/>
  <c r="NT20" i="12"/>
  <c r="NS22" i="12"/>
  <c r="NO25" i="12"/>
  <c r="N6" i="12"/>
  <c r="N4" i="12" s="1"/>
  <c r="AD6" i="12"/>
  <c r="AD4" i="12" s="1"/>
  <c r="E7" i="11"/>
  <c r="E6" i="11"/>
  <c r="E4" i="11" s="1"/>
  <c r="M7" i="11"/>
  <c r="M6" i="11"/>
  <c r="M4" i="11" s="1"/>
  <c r="Q7" i="11"/>
  <c r="Q6" i="11"/>
  <c r="Q4" i="11" s="1"/>
  <c r="AC7" i="11"/>
  <c r="AC6" i="11"/>
  <c r="AC4" i="11" s="1"/>
  <c r="U7" i="11"/>
  <c r="NU35" i="11"/>
  <c r="NQ35" i="11"/>
  <c r="NM35" i="11"/>
  <c r="NU26" i="11"/>
  <c r="NQ26" i="11"/>
  <c r="NM26" i="11"/>
  <c r="NU25" i="11"/>
  <c r="NQ25" i="11"/>
  <c r="NM25" i="11"/>
  <c r="NU24" i="11"/>
  <c r="NQ24" i="11"/>
  <c r="NM24" i="11"/>
  <c r="NU23" i="11"/>
  <c r="NQ23" i="11"/>
  <c r="NM23" i="11"/>
  <c r="NU22" i="11"/>
  <c r="NQ22" i="11"/>
  <c r="NM22" i="11"/>
  <c r="NU21" i="11"/>
  <c r="NQ21" i="11"/>
  <c r="NM21" i="11"/>
  <c r="NU20" i="11"/>
  <c r="NQ20" i="11"/>
  <c r="NM20" i="11"/>
  <c r="NU19" i="11"/>
  <c r="NQ19" i="11"/>
  <c r="NM19" i="11"/>
  <c r="NU18" i="11"/>
  <c r="NQ18" i="11"/>
  <c r="NM18" i="11"/>
  <c r="NU17" i="11"/>
  <c r="NQ17" i="11"/>
  <c r="NM17" i="11"/>
  <c r="NU16" i="11"/>
  <c r="NQ16" i="11"/>
  <c r="NM16" i="11"/>
  <c r="NU15" i="11"/>
  <c r="NQ15" i="11"/>
  <c r="NM15" i="11"/>
  <c r="NU14" i="11"/>
  <c r="NQ14" i="11"/>
  <c r="NM14" i="11"/>
  <c r="NU13" i="11"/>
  <c r="NQ13" i="11"/>
  <c r="NM13" i="11"/>
  <c r="NU12" i="11"/>
  <c r="NQ12" i="11"/>
  <c r="NM12" i="11"/>
  <c r="NU11" i="11"/>
  <c r="NQ11" i="11"/>
  <c r="NM11" i="11"/>
  <c r="NU10" i="11"/>
  <c r="NQ10" i="11"/>
  <c r="NM10" i="11"/>
  <c r="NU9" i="11"/>
  <c r="NQ9" i="11"/>
  <c r="NM9" i="11"/>
  <c r="NU8" i="11"/>
  <c r="NQ8" i="11"/>
  <c r="NM8" i="11"/>
  <c r="NT35" i="11"/>
  <c r="NP35" i="11"/>
  <c r="NL35" i="11"/>
  <c r="NK34" i="11" a="1"/>
  <c r="NK34" i="11" s="1"/>
  <c r="NK32" i="11" a="1"/>
  <c r="NK32" i="11" s="1"/>
  <c r="NK30" i="11" a="1"/>
  <c r="NK30" i="11" s="1"/>
  <c r="NK28" i="11" a="1"/>
  <c r="NK28" i="11" s="1"/>
  <c r="NT26" i="11"/>
  <c r="NP26" i="11"/>
  <c r="NL26" i="11"/>
  <c r="NT25" i="11"/>
  <c r="NP25" i="11"/>
  <c r="NL25" i="11"/>
  <c r="NT24" i="11"/>
  <c r="NP24" i="11"/>
  <c r="NL24" i="11"/>
  <c r="NT23" i="11"/>
  <c r="NP23" i="11"/>
  <c r="NL23" i="11"/>
  <c r="NT22" i="11"/>
  <c r="NP22" i="11"/>
  <c r="NL22" i="11"/>
  <c r="NT21" i="11"/>
  <c r="NP21" i="11"/>
  <c r="NL21" i="11"/>
  <c r="NT20" i="11"/>
  <c r="NP20" i="11"/>
  <c r="NL20" i="11"/>
  <c r="NT19" i="11"/>
  <c r="NP19" i="11"/>
  <c r="NL19" i="11"/>
  <c r="NT18" i="11"/>
  <c r="NP18" i="11"/>
  <c r="NL18" i="11"/>
  <c r="NT17" i="11"/>
  <c r="NP17" i="11"/>
  <c r="NL17" i="11"/>
  <c r="NT16" i="11"/>
  <c r="NP16" i="11"/>
  <c r="NL16" i="11"/>
  <c r="NT15" i="11"/>
  <c r="NP15" i="11"/>
  <c r="NL15" i="11"/>
  <c r="NT14" i="11"/>
  <c r="NP14" i="11"/>
  <c r="NL14" i="11"/>
  <c r="NT13" i="11"/>
  <c r="NP13" i="11"/>
  <c r="NL13" i="11"/>
  <c r="NT12" i="11"/>
  <c r="NP12" i="11"/>
  <c r="NL12" i="11"/>
  <c r="NT11" i="11"/>
  <c r="NS35" i="11"/>
  <c r="NO35" i="11"/>
  <c r="NS26" i="11"/>
  <c r="NO26" i="11"/>
  <c r="NS25" i="11"/>
  <c r="NO25" i="11"/>
  <c r="NS24" i="11"/>
  <c r="NO24" i="11"/>
  <c r="NS23" i="11"/>
  <c r="NO23" i="11"/>
  <c r="NS22" i="11"/>
  <c r="NO22" i="11"/>
  <c r="NS21" i="11"/>
  <c r="NO21" i="11"/>
  <c r="NS20" i="11"/>
  <c r="NO20" i="11"/>
  <c r="NS19" i="11"/>
  <c r="NO19" i="11"/>
  <c r="NS18" i="11"/>
  <c r="NO18" i="11"/>
  <c r="NS17" i="11"/>
  <c r="NO17" i="11"/>
  <c r="NS16" i="11"/>
  <c r="NO16" i="11"/>
  <c r="NS15" i="11"/>
  <c r="NO15" i="11"/>
  <c r="NS14" i="11"/>
  <c r="NO14" i="11"/>
  <c r="NS13" i="11"/>
  <c r="NO13" i="11"/>
  <c r="NS12" i="11"/>
  <c r="NO12" i="11"/>
  <c r="NS11" i="11"/>
  <c r="NO11" i="11"/>
  <c r="NS10" i="11"/>
  <c r="NO10" i="11"/>
  <c r="NS9" i="11"/>
  <c r="NO9" i="11"/>
  <c r="NS8" i="11"/>
  <c r="NO8" i="11"/>
  <c r="NR35" i="11"/>
  <c r="NN35" i="11"/>
  <c r="NK35" i="11" a="1"/>
  <c r="NK35" i="11" s="1"/>
  <c r="NK33" i="11" a="1"/>
  <c r="NK33" i="11" s="1"/>
  <c r="NK31" i="11" a="1"/>
  <c r="NK31" i="11" s="1"/>
  <c r="NK29" i="11" a="1"/>
  <c r="NK29" i="11" s="1"/>
  <c r="NK27" i="11" a="1"/>
  <c r="NK27" i="11" s="1"/>
  <c r="NR26" i="11"/>
  <c r="NN26" i="11"/>
  <c r="NK26" i="11" a="1"/>
  <c r="NK26" i="11" s="1"/>
  <c r="NR25" i="11"/>
  <c r="NN25" i="11"/>
  <c r="NK25" i="11" a="1"/>
  <c r="NK25" i="11" s="1"/>
  <c r="NR24" i="11"/>
  <c r="NN24" i="11"/>
  <c r="NK24" i="11" a="1"/>
  <c r="NK24" i="11" s="1"/>
  <c r="NR23" i="11"/>
  <c r="NN23" i="11"/>
  <c r="NK23" i="11" a="1"/>
  <c r="NK23" i="11" s="1"/>
  <c r="NR22" i="11"/>
  <c r="NN22" i="11"/>
  <c r="NK22" i="11" a="1"/>
  <c r="NK22" i="11" s="1"/>
  <c r="NR21" i="11"/>
  <c r="NN21" i="11"/>
  <c r="NK21" i="11" a="1"/>
  <c r="NK21" i="11" s="1"/>
  <c r="NR20" i="11"/>
  <c r="NN20" i="11"/>
  <c r="NK20" i="11" a="1"/>
  <c r="NK20" i="11" s="1"/>
  <c r="NR19" i="11"/>
  <c r="NN18" i="11"/>
  <c r="NK17" i="11" a="1"/>
  <c r="NK17" i="11" s="1"/>
  <c r="NR15" i="11"/>
  <c r="NN14" i="11"/>
  <c r="NK13" i="11" a="1"/>
  <c r="NK13" i="11" s="1"/>
  <c r="NR11" i="11"/>
  <c r="NK11" i="11" a="1"/>
  <c r="NK11" i="11" s="1"/>
  <c r="NN10" i="11"/>
  <c r="NR9" i="11"/>
  <c r="NK9" i="11" a="1"/>
  <c r="NK9" i="11" s="1"/>
  <c r="NN8" i="11"/>
  <c r="NN19" i="11"/>
  <c r="NK18" i="11" a="1"/>
  <c r="NK18" i="11" s="1"/>
  <c r="NR16" i="11"/>
  <c r="NN15" i="11"/>
  <c r="NK14" i="11" a="1"/>
  <c r="NK14" i="11" s="1"/>
  <c r="NR12" i="11"/>
  <c r="NP11" i="11"/>
  <c r="NT10" i="11"/>
  <c r="NL10" i="11"/>
  <c r="NP9" i="11"/>
  <c r="NT8" i="11"/>
  <c r="NL8" i="11"/>
  <c r="NK19" i="11" a="1"/>
  <c r="NK19" i="11" s="1"/>
  <c r="NR17" i="11"/>
  <c r="NN16" i="11"/>
  <c r="NK15" i="11" a="1"/>
  <c r="NK15" i="11" s="1"/>
  <c r="NR13" i="11"/>
  <c r="NN12" i="11"/>
  <c r="NN11" i="11"/>
  <c r="NR10" i="11"/>
  <c r="NK10" i="11" a="1"/>
  <c r="NK10" i="11" s="1"/>
  <c r="NN9" i="11"/>
  <c r="NR8" i="11"/>
  <c r="NK8" i="11" a="1"/>
  <c r="NK8" i="11" s="1"/>
  <c r="NR18" i="11"/>
  <c r="NN13" i="11"/>
  <c r="NT9" i="11"/>
  <c r="NN17" i="11"/>
  <c r="NK12" i="11" a="1"/>
  <c r="NK12" i="11" s="1"/>
  <c r="NL9" i="11"/>
  <c r="NK16" i="11" a="1"/>
  <c r="NK16" i="11" s="1"/>
  <c r="NL11" i="11"/>
  <c r="NP8" i="11"/>
  <c r="C6" i="11"/>
  <c r="C4" i="11" s="1"/>
  <c r="Y6" i="11"/>
  <c r="Y4" i="11" s="1"/>
  <c r="G7" i="11"/>
  <c r="G6" i="11"/>
  <c r="G4" i="11" s="1"/>
  <c r="O7" i="11"/>
  <c r="O6" i="11"/>
  <c r="O4" i="11" s="1"/>
  <c r="W7" i="11"/>
  <c r="W6" i="11"/>
  <c r="W4" i="11" s="1"/>
  <c r="AA7" i="11"/>
  <c r="AA6" i="11"/>
  <c r="AA4" i="11" s="1"/>
  <c r="AE7" i="11"/>
  <c r="AE6" i="11"/>
  <c r="AE4" i="11" s="1"/>
  <c r="I6" i="11"/>
  <c r="I4" i="11" s="1"/>
  <c r="NP10" i="11"/>
  <c r="K7" i="11"/>
  <c r="NR14" i="11"/>
  <c r="H7" i="11"/>
  <c r="H6" i="11"/>
  <c r="H4" i="11" s="1"/>
  <c r="L7" i="11"/>
  <c r="L6" i="11"/>
  <c r="L4" i="11" s="1"/>
  <c r="X7" i="11"/>
  <c r="X6" i="11"/>
  <c r="X4" i="11" s="1"/>
  <c r="AB7" i="11"/>
  <c r="AB6" i="11"/>
  <c r="AB4" i="11" s="1"/>
  <c r="J6" i="11"/>
  <c r="J4" i="11" s="1"/>
  <c r="Z6" i="11"/>
  <c r="Z4" i="11" s="1"/>
  <c r="D7" i="11"/>
  <c r="F6" i="11"/>
  <c r="F4" i="11" s="1"/>
  <c r="V6" i="11"/>
  <c r="V4" i="11" s="1"/>
  <c r="P7" i="11"/>
  <c r="B6" i="11"/>
  <c r="B4" i="11" s="1"/>
  <c r="R6" i="11"/>
  <c r="R4" i="11" s="1"/>
  <c r="T7" i="11"/>
  <c r="NJ5" i="8"/>
  <c r="NI5" i="8"/>
  <c r="NH5" i="8"/>
  <c r="NG5" i="8"/>
  <c r="NF5" i="8"/>
  <c r="NE5" i="8"/>
  <c r="ND5" i="8"/>
  <c r="NC5" i="8"/>
  <c r="NB5" i="8"/>
  <c r="NA5" i="8"/>
  <c r="MZ5" i="8"/>
  <c r="MY5" i="8"/>
  <c r="MX5" i="8"/>
  <c r="MW5" i="8"/>
  <c r="MV5" i="8"/>
  <c r="MU5" i="8"/>
  <c r="MT5" i="8"/>
  <c r="MS5" i="8"/>
  <c r="MR5" i="8"/>
  <c r="MQ5" i="8"/>
  <c r="MP5" i="8"/>
  <c r="MO5" i="8"/>
  <c r="MN5" i="8"/>
  <c r="MM5" i="8"/>
  <c r="ML5" i="8"/>
  <c r="MK5" i="8"/>
  <c r="MJ5" i="8"/>
  <c r="MI5" i="8"/>
  <c r="MH5" i="8"/>
  <c r="MG5" i="8"/>
  <c r="MF5" i="8"/>
  <c r="ME5" i="8"/>
  <c r="MD5" i="8"/>
  <c r="MC5" i="8"/>
  <c r="MB5" i="8"/>
  <c r="MA5" i="8"/>
  <c r="LZ5" i="8"/>
  <c r="LY5" i="8"/>
  <c r="LX5" i="8"/>
  <c r="LW5" i="8"/>
  <c r="LV5" i="8"/>
  <c r="LU5" i="8"/>
  <c r="LT5" i="8"/>
  <c r="LS5" i="8"/>
  <c r="LR5" i="8"/>
  <c r="LQ5" i="8"/>
  <c r="LP5" i="8"/>
  <c r="LO5" i="8"/>
  <c r="LN5" i="8"/>
  <c r="LM5" i="8"/>
  <c r="LL5" i="8"/>
  <c r="LK5" i="8"/>
  <c r="LJ5" i="8"/>
  <c r="LI5" i="8"/>
  <c r="LH5" i="8"/>
  <c r="LG5" i="8"/>
  <c r="LF5" i="8"/>
  <c r="LE5" i="8"/>
  <c r="LD5" i="8"/>
  <c r="LC5" i="8"/>
  <c r="LB5" i="8"/>
  <c r="LA5" i="8"/>
  <c r="KZ5" i="8"/>
  <c r="KY5" i="8"/>
  <c r="KX5" i="8"/>
  <c r="KW5" i="8"/>
  <c r="KV5" i="8"/>
  <c r="KU5" i="8"/>
  <c r="KT5" i="8"/>
  <c r="KS5" i="8"/>
  <c r="KR5" i="8"/>
  <c r="KQ5" i="8"/>
  <c r="KP5" i="8"/>
  <c r="KO5" i="8"/>
  <c r="KN5" i="8"/>
  <c r="KM5" i="8"/>
  <c r="KL5" i="8"/>
  <c r="KK5" i="8"/>
  <c r="KJ5" i="8"/>
  <c r="KI5" i="8"/>
  <c r="KH5" i="8"/>
  <c r="KG5" i="8"/>
  <c r="KF5" i="8"/>
  <c r="KE5" i="8"/>
  <c r="KD5" i="8"/>
  <c r="KC5" i="8"/>
  <c r="KB5" i="8"/>
  <c r="KA5" i="8"/>
  <c r="JZ5" i="8"/>
  <c r="JY5" i="8"/>
  <c r="JX5" i="8"/>
  <c r="JW5" i="8"/>
  <c r="JV5" i="8"/>
  <c r="JU5" i="8"/>
  <c r="JT5" i="8"/>
  <c r="JS5" i="8"/>
  <c r="JR5" i="8"/>
  <c r="JQ5" i="8"/>
  <c r="JP5" i="8"/>
  <c r="JO5" i="8"/>
  <c r="JN5" i="8"/>
  <c r="JM5" i="8"/>
  <c r="JL5" i="8"/>
  <c r="JK5" i="8"/>
  <c r="JJ5" i="8"/>
  <c r="JI5" i="8"/>
  <c r="JH5" i="8"/>
  <c r="JG5" i="8"/>
  <c r="JF5" i="8"/>
  <c r="JE5" i="8"/>
  <c r="JD5" i="8"/>
  <c r="JC5" i="8"/>
  <c r="JB5" i="8"/>
  <c r="JA5" i="8"/>
  <c r="IZ5" i="8"/>
  <c r="IY5" i="8"/>
  <c r="IX5" i="8"/>
  <c r="IW5" i="8"/>
  <c r="IV5" i="8"/>
  <c r="IU5" i="8"/>
  <c r="IT5" i="8"/>
  <c r="IS5" i="8"/>
  <c r="IR5" i="8"/>
  <c r="IQ5" i="8"/>
  <c r="IP5" i="8"/>
  <c r="IO5" i="8"/>
  <c r="IN5" i="8"/>
  <c r="IM5" i="8"/>
  <c r="IL5" i="8"/>
  <c r="IK5" i="8"/>
  <c r="IJ5" i="8"/>
  <c r="II5" i="8"/>
  <c r="IH5" i="8"/>
  <c r="IG5" i="8"/>
  <c r="IF5" i="8"/>
  <c r="IE5" i="8"/>
  <c r="ID5" i="8"/>
  <c r="IC5" i="8"/>
  <c r="IB5" i="8"/>
  <c r="IA5" i="8"/>
  <c r="HZ5" i="8"/>
  <c r="HY5" i="8"/>
  <c r="HX5" i="8"/>
  <c r="HW5" i="8"/>
  <c r="HV5" i="8"/>
  <c r="HU5" i="8"/>
  <c r="HT5" i="8"/>
  <c r="HS5" i="8"/>
  <c r="HR5" i="8"/>
  <c r="HQ5" i="8"/>
  <c r="HP5" i="8"/>
  <c r="HO5" i="8"/>
  <c r="HN5" i="8"/>
  <c r="HM5" i="8"/>
  <c r="HL5" i="8"/>
  <c r="HK5" i="8"/>
  <c r="HJ5" i="8"/>
  <c r="HI5" i="8"/>
  <c r="HH5" i="8"/>
  <c r="HG5" i="8"/>
  <c r="HF5" i="8"/>
  <c r="HE5" i="8"/>
  <c r="HD5" i="8"/>
  <c r="HC5" i="8"/>
  <c r="HB5" i="8"/>
  <c r="HA5" i="8"/>
  <c r="GZ5" i="8"/>
  <c r="GY5" i="8"/>
  <c r="GX5" i="8"/>
  <c r="GW5" i="8"/>
  <c r="GV5" i="8"/>
  <c r="GU5" i="8"/>
  <c r="GT5" i="8"/>
  <c r="GS5" i="8"/>
  <c r="GR5" i="8"/>
  <c r="GQ5" i="8"/>
  <c r="GP5" i="8"/>
  <c r="GO5" i="8"/>
  <c r="GN5" i="8"/>
  <c r="GM5" i="8"/>
  <c r="GL5" i="8"/>
  <c r="GK5" i="8"/>
  <c r="GJ5" i="8"/>
  <c r="GI5" i="8"/>
  <c r="GH5" i="8"/>
  <c r="GG5" i="8"/>
  <c r="GF5" i="8"/>
  <c r="GE5" i="8"/>
  <c r="GD5" i="8"/>
  <c r="GC5" i="8"/>
  <c r="GB5" i="8"/>
  <c r="GA5" i="8"/>
  <c r="FZ5" i="8"/>
  <c r="FY5" i="8"/>
  <c r="FX5" i="8"/>
  <c r="FW5" i="8"/>
  <c r="FV5" i="8"/>
  <c r="FU5" i="8"/>
  <c r="FT5" i="8"/>
  <c r="FS5" i="8"/>
  <c r="FR5" i="8"/>
  <c r="FQ5" i="8"/>
  <c r="FP5" i="8"/>
  <c r="FO5" i="8"/>
  <c r="FN5" i="8"/>
  <c r="FM5" i="8"/>
  <c r="FL5" i="8"/>
  <c r="FK5" i="8"/>
  <c r="FJ5" i="8"/>
  <c r="FI5" i="8"/>
  <c r="FH5" i="8"/>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Z5" i="8"/>
  <c r="DY5" i="8"/>
  <c r="DX5" i="8"/>
  <c r="DW5" i="8"/>
  <c r="DV5" i="8"/>
  <c r="DU5" i="8"/>
  <c r="DT5" i="8"/>
  <c r="DS5" i="8"/>
  <c r="DR5" i="8"/>
  <c r="DQ5" i="8"/>
  <c r="DP5" i="8"/>
  <c r="DO5" i="8"/>
  <c r="DN5" i="8"/>
  <c r="DM5" i="8"/>
  <c r="DL5" i="8"/>
  <c r="DK5" i="8"/>
  <c r="DJ5" i="8"/>
  <c r="DI5" i="8"/>
  <c r="DH5" i="8"/>
  <c r="DG5" i="8"/>
  <c r="DF5" i="8"/>
  <c r="DE5" i="8"/>
  <c r="DD5" i="8"/>
  <c r="DC5" i="8"/>
  <c r="DB5" i="8"/>
  <c r="DA5" i="8"/>
  <c r="CZ5" i="8"/>
  <c r="CY5" i="8"/>
  <c r="CX5" i="8"/>
  <c r="CW5" i="8"/>
  <c r="CV5" i="8"/>
  <c r="CU5" i="8"/>
  <c r="CT5" i="8"/>
  <c r="CS5" i="8"/>
  <c r="CR5" i="8"/>
  <c r="CP5" i="8"/>
  <c r="CO5" i="8"/>
  <c r="CN5" i="8"/>
  <c r="CM5" i="8"/>
  <c r="CL5" i="8"/>
  <c r="CK5" i="8"/>
  <c r="CJ5" i="8"/>
  <c r="CI5" i="8"/>
  <c r="CH5" i="8"/>
  <c r="CG5" i="8"/>
  <c r="CF5" i="8"/>
  <c r="CE5" i="8"/>
  <c r="CD5" i="8"/>
  <c r="CC5" i="8"/>
  <c r="CB5" i="8"/>
  <c r="CA5" i="8"/>
  <c r="BZ5" i="8"/>
  <c r="BY5" i="8"/>
  <c r="BX5" i="8"/>
  <c r="BW5" i="8"/>
  <c r="BV5" i="8"/>
  <c r="BU5" i="8"/>
  <c r="BT5" i="8"/>
  <c r="BS5" i="8"/>
  <c r="BR5" i="8"/>
  <c r="BQ5" i="8"/>
  <c r="BP5" i="8"/>
  <c r="BO5" i="8"/>
  <c r="BN5" i="8"/>
  <c r="BM5" i="8"/>
  <c r="BL5" i="8"/>
  <c r="BK5" i="8"/>
  <c r="BJ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E5" i="8"/>
  <c r="D5" i="8"/>
  <c r="C5" i="8"/>
  <c r="B5" i="8"/>
  <c r="NJ3" i="8" l="1"/>
  <c r="NI3" i="8"/>
  <c r="NH3" i="8"/>
  <c r="NG3" i="8"/>
  <c r="NF3" i="8"/>
  <c r="NE3" i="8"/>
  <c r="ND3" i="8"/>
  <c r="NC3" i="8"/>
  <c r="NB3" i="8"/>
  <c r="NA3" i="8"/>
  <c r="MZ3" i="8"/>
  <c r="MY3" i="8"/>
  <c r="MX3" i="8"/>
  <c r="MW3" i="8"/>
  <c r="MV3" i="8"/>
  <c r="MU3" i="8"/>
  <c r="MT3" i="8"/>
  <c r="MS3" i="8"/>
  <c r="MR3" i="8"/>
  <c r="MQ3" i="8"/>
  <c r="MP3" i="8"/>
  <c r="MO3" i="8"/>
  <c r="MN3" i="8"/>
  <c r="MM3" i="8"/>
  <c r="ML3" i="8"/>
  <c r="MK3" i="8"/>
  <c r="MJ3" i="8"/>
  <c r="MI3" i="8"/>
  <c r="MH3" i="8"/>
  <c r="MG3" i="8"/>
  <c r="MF3" i="8"/>
  <c r="ME3" i="8"/>
  <c r="MD3" i="8"/>
  <c r="MC3" i="8"/>
  <c r="MB3" i="8"/>
  <c r="MA3" i="8"/>
  <c r="LZ3" i="8"/>
  <c r="LY3" i="8"/>
  <c r="LX3" i="8"/>
  <c r="LW3" i="8"/>
  <c r="LV3" i="8"/>
  <c r="LU3" i="8"/>
  <c r="LT3" i="8"/>
  <c r="LS3" i="8"/>
  <c r="LR3" i="8"/>
  <c r="LQ3" i="8"/>
  <c r="LP3" i="8"/>
  <c r="LO3" i="8"/>
  <c r="LN3" i="8"/>
  <c r="LM3" i="8"/>
  <c r="LL3" i="8"/>
  <c r="LK3" i="8"/>
  <c r="LJ3" i="8"/>
  <c r="LI3" i="8"/>
  <c r="LH3" i="8"/>
  <c r="LG3" i="8"/>
  <c r="LF3" i="8"/>
  <c r="LE3" i="8"/>
  <c r="LD3" i="8"/>
  <c r="LC3" i="8"/>
  <c r="LB3" i="8"/>
  <c r="LA3" i="8"/>
  <c r="KZ3" i="8"/>
  <c r="KY3" i="8"/>
  <c r="KX3" i="8"/>
  <c r="KW3" i="8"/>
  <c r="KV3" i="8"/>
  <c r="KU3" i="8"/>
  <c r="KT3" i="8"/>
  <c r="KS3" i="8"/>
  <c r="KR3" i="8"/>
  <c r="KQ3" i="8"/>
  <c r="KP3" i="8"/>
  <c r="KO3" i="8"/>
  <c r="KN3" i="8"/>
  <c r="KM3" i="8"/>
  <c r="KL3" i="8"/>
  <c r="KK3" i="8"/>
  <c r="KJ3" i="8"/>
  <c r="KI3" i="8"/>
  <c r="KH3" i="8"/>
  <c r="KG3" i="8"/>
  <c r="KF3" i="8"/>
  <c r="KE3" i="8"/>
  <c r="KD3" i="8"/>
  <c r="KC3" i="8"/>
  <c r="KB3" i="8"/>
  <c r="KA3" i="8"/>
  <c r="JZ3" i="8"/>
  <c r="JY3" i="8"/>
  <c r="JX3" i="8"/>
  <c r="JW3" i="8"/>
  <c r="JV3" i="8"/>
  <c r="JU3" i="8"/>
  <c r="JT3" i="8"/>
  <c r="JS3" i="8"/>
  <c r="JR3" i="8"/>
  <c r="JQ3" i="8"/>
  <c r="JP3" i="8"/>
  <c r="JO3" i="8"/>
  <c r="JN3" i="8"/>
  <c r="JM3" i="8"/>
  <c r="JL3" i="8"/>
  <c r="JK3" i="8"/>
  <c r="JJ3" i="8"/>
  <c r="JI3" i="8"/>
  <c r="JH3" i="8"/>
  <c r="JG3" i="8"/>
  <c r="JF3" i="8"/>
  <c r="JE3" i="8"/>
  <c r="JD3" i="8"/>
  <c r="JC3" i="8"/>
  <c r="JB3" i="8"/>
  <c r="JA3" i="8"/>
  <c r="IZ3" i="8"/>
  <c r="IY3" i="8"/>
  <c r="IX3" i="8"/>
  <c r="IW3" i="8"/>
  <c r="IV3" i="8"/>
  <c r="IU3" i="8"/>
  <c r="IT3" i="8"/>
  <c r="IS3" i="8"/>
  <c r="IR3" i="8"/>
  <c r="IQ3" i="8"/>
  <c r="IP3" i="8"/>
  <c r="IO3" i="8"/>
  <c r="IN3" i="8"/>
  <c r="IM3" i="8"/>
  <c r="IL3" i="8"/>
  <c r="IK3" i="8"/>
  <c r="IJ3" i="8"/>
  <c r="II3" i="8"/>
  <c r="IH3" i="8"/>
  <c r="IG3" i="8"/>
  <c r="IF3" i="8"/>
  <c r="IE3" i="8"/>
  <c r="ID3" i="8"/>
  <c r="IC3" i="8"/>
  <c r="IB3" i="8"/>
  <c r="IA3" i="8"/>
  <c r="HZ3" i="8"/>
  <c r="HY3" i="8"/>
  <c r="HX3" i="8"/>
  <c r="HW3" i="8"/>
  <c r="HV3" i="8"/>
  <c r="HU3" i="8"/>
  <c r="HT3" i="8"/>
  <c r="HS3" i="8"/>
  <c r="HR3" i="8"/>
  <c r="HQ3" i="8"/>
  <c r="HP3" i="8"/>
  <c r="HO3" i="8"/>
  <c r="HN3" i="8"/>
  <c r="HM3" i="8"/>
  <c r="HL3" i="8"/>
  <c r="HK3" i="8"/>
  <c r="HJ3" i="8"/>
  <c r="HI3" i="8"/>
  <c r="HH3" i="8"/>
  <c r="HG3" i="8"/>
  <c r="HF3" i="8"/>
  <c r="HE3" i="8"/>
  <c r="HD3" i="8"/>
  <c r="HC3" i="8"/>
  <c r="HB3" i="8"/>
  <c r="HA3" i="8"/>
  <c r="GZ3" i="8"/>
  <c r="GY3" i="8"/>
  <c r="GX3" i="8"/>
  <c r="GW3" i="8"/>
  <c r="GV3" i="8"/>
  <c r="GU3" i="8"/>
  <c r="GT3" i="8"/>
  <c r="GS3" i="8"/>
  <c r="GR3" i="8"/>
  <c r="GQ3" i="8"/>
  <c r="GP3" i="8"/>
  <c r="GO3" i="8"/>
  <c r="GN3" i="8"/>
  <c r="GM3" i="8"/>
  <c r="GL3" i="8"/>
  <c r="GK3" i="8"/>
  <c r="GJ3" i="8"/>
  <c r="GI3" i="8"/>
  <c r="GH3" i="8"/>
  <c r="GG3" i="8"/>
  <c r="GF3" i="8"/>
  <c r="GE3" i="8"/>
  <c r="GD3" i="8"/>
  <c r="GC3" i="8"/>
  <c r="GB3" i="8"/>
  <c r="GA3" i="8"/>
  <c r="FZ3" i="8"/>
  <c r="FY3" i="8"/>
  <c r="FX3" i="8"/>
  <c r="FW3" i="8"/>
  <c r="FV3" i="8"/>
  <c r="FU3" i="8"/>
  <c r="FT3" i="8"/>
  <c r="FS3" i="8"/>
  <c r="FR3" i="8"/>
  <c r="FQ3" i="8"/>
  <c r="FP3" i="8"/>
  <c r="FO3" i="8"/>
  <c r="FN3" i="8"/>
  <c r="FM3" i="8"/>
  <c r="FL3" i="8"/>
  <c r="FK3" i="8"/>
  <c r="FJ3" i="8"/>
  <c r="FI3" i="8"/>
  <c r="FH3" i="8"/>
  <c r="FG3" i="8"/>
  <c r="FF3" i="8"/>
  <c r="FE3" i="8"/>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Z3" i="8"/>
  <c r="DY3" i="8"/>
  <c r="DX3" i="8"/>
  <c r="DW3" i="8"/>
  <c r="DV3" i="8"/>
  <c r="DU3" i="8"/>
  <c r="DT3" i="8"/>
  <c r="DS3" i="8"/>
  <c r="DR3" i="8"/>
  <c r="DQ3" i="8"/>
  <c r="DP3" i="8"/>
  <c r="DO3" i="8"/>
  <c r="DN3" i="8"/>
  <c r="DM3" i="8"/>
  <c r="DL3" i="8"/>
  <c r="DK3" i="8"/>
  <c r="DJ3" i="8"/>
  <c r="DI3" i="8"/>
  <c r="DH3" i="8"/>
  <c r="DG3" i="8"/>
  <c r="DF3" i="8"/>
  <c r="DE3" i="8"/>
  <c r="DD3" i="8"/>
  <c r="DC3" i="8"/>
  <c r="DB3" i="8"/>
  <c r="DA3" i="8"/>
  <c r="CZ3" i="8"/>
  <c r="CY3" i="8"/>
  <c r="CX3" i="8"/>
  <c r="CW3" i="8"/>
  <c r="CV3" i="8"/>
  <c r="CU3" i="8"/>
  <c r="CT3" i="8"/>
  <c r="CS3" i="8"/>
  <c r="CR3" i="8"/>
  <c r="CP3" i="8"/>
  <c r="CO3" i="8"/>
  <c r="CN3" i="8"/>
  <c r="CM3" i="8"/>
  <c r="CL3" i="8"/>
  <c r="CK3" i="8"/>
  <c r="CJ3" i="8"/>
  <c r="CI3" i="8"/>
  <c r="CH3" i="8"/>
  <c r="CG3" i="8"/>
  <c r="CF3" i="8"/>
  <c r="CE3" i="8"/>
  <c r="CD3" i="8"/>
  <c r="CC3" i="8"/>
  <c r="CB3" i="8"/>
  <c r="CA3" i="8"/>
  <c r="BZ3" i="8"/>
  <c r="BY3" i="8"/>
  <c r="BX3" i="8"/>
  <c r="BW3"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A3" i="8"/>
  <c r="Z3" i="8"/>
  <c r="Y3" i="8"/>
  <c r="X3" i="8"/>
  <c r="W3" i="8"/>
  <c r="V3" i="8"/>
  <c r="U3" i="8"/>
  <c r="T3" i="8"/>
  <c r="S3" i="8"/>
  <c r="R3" i="8"/>
  <c r="Q3" i="8"/>
  <c r="P3" i="8"/>
  <c r="O3" i="8"/>
  <c r="N3" i="8"/>
  <c r="M3" i="8"/>
  <c r="L3" i="8"/>
  <c r="K3" i="8"/>
  <c r="J3" i="8"/>
  <c r="I3" i="8"/>
  <c r="H3" i="8"/>
  <c r="G3" i="8"/>
  <c r="F3" i="8"/>
  <c r="E3" i="8"/>
  <c r="D3" i="8"/>
  <c r="C3" i="8"/>
  <c r="B3" i="8"/>
  <c r="G2" i="5"/>
  <c r="G1" i="5"/>
  <c r="AG6" i="8"/>
  <c r="AG4" i="8" s="1"/>
  <c r="NN36" i="8" l="1"/>
  <c r="NT36" i="8"/>
  <c r="NO37" i="8"/>
  <c r="NU37" i="8"/>
  <c r="NP38" i="8"/>
  <c r="NK39" i="8" a="1"/>
  <c r="NK39" i="8" s="1"/>
  <c r="NQ39" i="8"/>
  <c r="NL40" i="8"/>
  <c r="NR40" i="8"/>
  <c r="NM41" i="8"/>
  <c r="NS41" i="8"/>
  <c r="NN42" i="8"/>
  <c r="NT42" i="8"/>
  <c r="NO43" i="8"/>
  <c r="NU43" i="8"/>
  <c r="NP44" i="8"/>
  <c r="NK45" i="8" a="1"/>
  <c r="NK45" i="8" s="1"/>
  <c r="NQ45" i="8"/>
  <c r="NL46" i="8"/>
  <c r="NR46" i="8"/>
  <c r="NM47" i="8"/>
  <c r="NS47" i="8"/>
  <c r="NN48" i="8"/>
  <c r="NT48" i="8"/>
  <c r="NO49" i="8"/>
  <c r="NU49" i="8"/>
  <c r="NK38" i="8" a="1"/>
  <c r="NK38" i="8" s="1"/>
  <c r="NU42" i="8"/>
  <c r="NR45" i="8"/>
  <c r="NT47" i="8"/>
  <c r="NO36" i="8"/>
  <c r="NP36" i="8"/>
  <c r="NK37" i="8" a="1"/>
  <c r="NK37" i="8" s="1"/>
  <c r="NQ37" i="8"/>
  <c r="NL38" i="8"/>
  <c r="NR38" i="8"/>
  <c r="NM39" i="8"/>
  <c r="NS39" i="8"/>
  <c r="NN40" i="8"/>
  <c r="NT40" i="8"/>
  <c r="NO41" i="8"/>
  <c r="NU41" i="8"/>
  <c r="NP42" i="8"/>
  <c r="NK43" i="8" a="1"/>
  <c r="NK43" i="8" s="1"/>
  <c r="NQ43" i="8"/>
  <c r="NL44" i="8"/>
  <c r="NR44" i="8"/>
  <c r="NM45" i="8"/>
  <c r="NS45" i="8"/>
  <c r="NN46" i="8"/>
  <c r="NT46" i="8"/>
  <c r="NO47" i="8"/>
  <c r="NU47" i="8"/>
  <c r="NP48" i="8"/>
  <c r="NK49" i="8" a="1"/>
  <c r="NK49" i="8" s="1"/>
  <c r="NQ49" i="8"/>
  <c r="NP37" i="8"/>
  <c r="NM40" i="8"/>
  <c r="NO42" i="8"/>
  <c r="NQ44" i="8"/>
  <c r="NS46" i="8"/>
  <c r="NP49" i="8"/>
  <c r="NK36" i="8" a="1"/>
  <c r="NK36" i="8" s="1"/>
  <c r="NQ36" i="8"/>
  <c r="NL37" i="8"/>
  <c r="NR37" i="8"/>
  <c r="NM38" i="8"/>
  <c r="NS38" i="8"/>
  <c r="NN39" i="8"/>
  <c r="NT39" i="8"/>
  <c r="NO40" i="8"/>
  <c r="NU40" i="8"/>
  <c r="NP41" i="8"/>
  <c r="NK42" i="8" a="1"/>
  <c r="NK42" i="8" s="1"/>
  <c r="NQ42" i="8"/>
  <c r="NL43" i="8"/>
  <c r="NR43" i="8"/>
  <c r="NM44" i="8"/>
  <c r="NS44" i="8"/>
  <c r="NN45" i="8"/>
  <c r="NT45" i="8"/>
  <c r="NO46" i="8"/>
  <c r="NU46" i="8"/>
  <c r="NP47" i="8"/>
  <c r="NK48" i="8" a="1"/>
  <c r="NK48" i="8" s="1"/>
  <c r="NQ48" i="8"/>
  <c r="NL49" i="8"/>
  <c r="NR49" i="8"/>
  <c r="NQ38" i="8"/>
  <c r="NS40" i="8"/>
  <c r="NP43" i="8"/>
  <c r="NM46" i="8"/>
  <c r="NO48" i="8"/>
  <c r="NL36" i="8"/>
  <c r="NR36" i="8"/>
  <c r="NM37" i="8"/>
  <c r="NS37" i="8"/>
  <c r="NN38" i="8"/>
  <c r="NT38" i="8"/>
  <c r="NO39" i="8"/>
  <c r="NU39" i="8"/>
  <c r="NP40" i="8"/>
  <c r="NK41" i="8" a="1"/>
  <c r="NK41" i="8" s="1"/>
  <c r="NQ41" i="8"/>
  <c r="NL42" i="8"/>
  <c r="NR42" i="8"/>
  <c r="NM43" i="8"/>
  <c r="NS43" i="8"/>
  <c r="NN44" i="8"/>
  <c r="NT44" i="8"/>
  <c r="NO45" i="8"/>
  <c r="NU45" i="8"/>
  <c r="NP46" i="8"/>
  <c r="NK47" i="8" a="1"/>
  <c r="NK47" i="8" s="1"/>
  <c r="NQ47" i="8"/>
  <c r="NL48" i="8"/>
  <c r="NR48" i="8"/>
  <c r="NM49" i="8"/>
  <c r="NS49" i="8"/>
  <c r="NT49" i="8"/>
  <c r="NL39" i="8"/>
  <c r="NN41" i="8"/>
  <c r="NK44" i="8" a="1"/>
  <c r="NK44" i="8" s="1"/>
  <c r="NU48" i="8"/>
  <c r="NM36" i="8"/>
  <c r="NS36" i="8"/>
  <c r="NN37" i="8"/>
  <c r="NT37" i="8"/>
  <c r="NO38" i="8"/>
  <c r="NU38" i="8"/>
  <c r="NP39" i="8"/>
  <c r="NK40" i="8" a="1"/>
  <c r="NK40" i="8" s="1"/>
  <c r="NQ40" i="8"/>
  <c r="NL41" i="8"/>
  <c r="NR41" i="8"/>
  <c r="NM42" i="8"/>
  <c r="NS42" i="8"/>
  <c r="NN43" i="8"/>
  <c r="NT43" i="8"/>
  <c r="NO44" i="8"/>
  <c r="NU44" i="8"/>
  <c r="NP45" i="8"/>
  <c r="NK46" i="8" a="1"/>
  <c r="NK46" i="8" s="1"/>
  <c r="NQ46" i="8"/>
  <c r="NL47" i="8"/>
  <c r="NR47" i="8"/>
  <c r="NM48" i="8"/>
  <c r="NS48" i="8"/>
  <c r="NN49" i="8"/>
  <c r="NU36" i="8"/>
  <c r="NR39" i="8"/>
  <c r="NT41" i="8"/>
  <c r="NL45" i="8"/>
  <c r="NN47" i="8"/>
  <c r="NK26" i="8" a="1"/>
  <c r="NK26" i="8" s="1"/>
  <c r="NK30" i="8" a="1"/>
  <c r="NK30" i="8" s="1"/>
  <c r="NK34" i="8" a="1"/>
  <c r="NK34" i="8" s="1"/>
  <c r="NK32" i="8" a="1"/>
  <c r="NK32" i="8" s="1"/>
  <c r="NK33" i="8" a="1"/>
  <c r="NK33" i="8" s="1"/>
  <c r="NK27" i="8" a="1"/>
  <c r="NK27" i="8" s="1"/>
  <c r="NK31" i="8" a="1"/>
  <c r="NK31" i="8" s="1"/>
  <c r="NK28" i="8" a="1"/>
  <c r="NK28" i="8" s="1"/>
  <c r="NK29" i="8" a="1"/>
  <c r="NK29" i="8" s="1"/>
  <c r="NT8" i="8"/>
  <c r="NK9" i="8" a="1"/>
  <c r="NK9" i="8" s="1"/>
  <c r="NK17" i="8" a="1"/>
  <c r="NK17" i="8" s="1"/>
  <c r="NK25" i="8" a="1"/>
  <c r="NK25" i="8" s="1"/>
  <c r="NK8" i="8" a="1"/>
  <c r="NK8" i="8" s="1"/>
  <c r="NK10" i="8" a="1"/>
  <c r="NK10" i="8" s="1"/>
  <c r="NK18" i="8" a="1"/>
  <c r="NK18" i="8" s="1"/>
  <c r="NK20" i="8" a="1"/>
  <c r="NK20" i="8" s="1"/>
  <c r="NK11" i="8" a="1"/>
  <c r="NK11" i="8" s="1"/>
  <c r="NK19" i="8" a="1"/>
  <c r="NK19" i="8" s="1"/>
  <c r="NK35" i="8" a="1"/>
  <c r="NK35" i="8" s="1"/>
  <c r="NK12" i="8" a="1"/>
  <c r="NK12" i="8" s="1"/>
  <c r="NK13" i="8" a="1"/>
  <c r="NK13" i="8" s="1"/>
  <c r="NK21" i="8" a="1"/>
  <c r="NK21" i="8" s="1"/>
  <c r="NK24" i="8" a="1"/>
  <c r="NK24" i="8" s="1"/>
  <c r="NK14" i="8" a="1"/>
  <c r="NK14" i="8" s="1"/>
  <c r="NK22" i="8" a="1"/>
  <c r="NK22" i="8" s="1"/>
  <c r="NK23" i="8" a="1"/>
  <c r="NK23" i="8" s="1"/>
  <c r="NK15" i="8" a="1"/>
  <c r="NK15" i="8" s="1"/>
  <c r="NK16" i="8" a="1"/>
  <c r="NK16" i="8" s="1"/>
  <c r="NU25" i="8"/>
  <c r="NU21" i="8"/>
  <c r="NU17" i="8"/>
  <c r="NU13" i="8"/>
  <c r="NU9" i="8"/>
  <c r="NT35" i="8"/>
  <c r="NT23" i="8"/>
  <c r="NT19" i="8"/>
  <c r="NT15" i="8"/>
  <c r="NT11" i="8"/>
  <c r="NS25" i="8"/>
  <c r="NS21" i="8"/>
  <c r="NS17" i="8"/>
  <c r="NS13" i="8"/>
  <c r="NS9" i="8"/>
  <c r="NR35" i="8"/>
  <c r="NR23" i="8"/>
  <c r="NR19" i="8"/>
  <c r="NR15" i="8"/>
  <c r="NR11" i="8"/>
  <c r="NQ25" i="8"/>
  <c r="NQ21" i="8"/>
  <c r="NQ17" i="8"/>
  <c r="NQ13" i="8"/>
  <c r="NQ9" i="8"/>
  <c r="NP35" i="8"/>
  <c r="NP23" i="8"/>
  <c r="NU24" i="8"/>
  <c r="NU20" i="8"/>
  <c r="NU16" i="8"/>
  <c r="NU12" i="8"/>
  <c r="NU8" i="8"/>
  <c r="NT26" i="8"/>
  <c r="NT22" i="8"/>
  <c r="NT18" i="8"/>
  <c r="NT14" i="8"/>
  <c r="NT10" i="8"/>
  <c r="NS24" i="8"/>
  <c r="NS20" i="8"/>
  <c r="NS16" i="8"/>
  <c r="NS12" i="8"/>
  <c r="NS8" i="8"/>
  <c r="NR26" i="8"/>
  <c r="NR22" i="8"/>
  <c r="NR18" i="8"/>
  <c r="NR14" i="8"/>
  <c r="NR10" i="8"/>
  <c r="NQ24" i="8"/>
  <c r="NQ20" i="8"/>
  <c r="NQ16" i="8"/>
  <c r="NQ12" i="8"/>
  <c r="NQ8" i="8"/>
  <c r="NP26" i="8"/>
  <c r="NP22" i="8"/>
  <c r="NP18" i="8"/>
  <c r="NP14" i="8"/>
  <c r="NP10" i="8"/>
  <c r="NO24" i="8"/>
  <c r="NO20" i="8"/>
  <c r="NU35" i="8"/>
  <c r="NU23" i="8"/>
  <c r="NU19" i="8"/>
  <c r="NU15" i="8"/>
  <c r="NU11" i="8"/>
  <c r="NT25" i="8"/>
  <c r="NT21" i="8"/>
  <c r="NT17" i="8"/>
  <c r="NT13" i="8"/>
  <c r="NT9" i="8"/>
  <c r="NS35" i="8"/>
  <c r="NS23" i="8"/>
  <c r="NS19" i="8"/>
  <c r="NS15" i="8"/>
  <c r="NS11" i="8"/>
  <c r="NR25" i="8"/>
  <c r="NR21" i="8"/>
  <c r="NR17" i="8"/>
  <c r="NR13" i="8"/>
  <c r="NR9" i="8"/>
  <c r="NQ35" i="8"/>
  <c r="NQ23" i="8"/>
  <c r="NQ19" i="8"/>
  <c r="NQ15" i="8"/>
  <c r="NQ11" i="8"/>
  <c r="NP25" i="8"/>
  <c r="NP21" i="8"/>
  <c r="NP17" i="8"/>
  <c r="NP13" i="8"/>
  <c r="NP9" i="8"/>
  <c r="NU26" i="8"/>
  <c r="NU22" i="8"/>
  <c r="NU18" i="8"/>
  <c r="NU14" i="8"/>
  <c r="NU10" i="8"/>
  <c r="NT24" i="8"/>
  <c r="NT20" i="8"/>
  <c r="NT16" i="8"/>
  <c r="NT12" i="8"/>
  <c r="NS26" i="8"/>
  <c r="NS22" i="8"/>
  <c r="NS18" i="8"/>
  <c r="NS14" i="8"/>
  <c r="NS10" i="8"/>
  <c r="NR24" i="8"/>
  <c r="NR20" i="8"/>
  <c r="NR16" i="8"/>
  <c r="NR12" i="8"/>
  <c r="NR8" i="8"/>
  <c r="NQ26" i="8"/>
  <c r="NQ22" i="8"/>
  <c r="NQ18" i="8"/>
  <c r="NQ14" i="8"/>
  <c r="NQ10" i="8"/>
  <c r="NP24" i="8"/>
  <c r="NP20" i="8"/>
  <c r="NP16" i="8"/>
  <c r="NP12" i="8"/>
  <c r="NP8" i="8"/>
  <c r="NO26" i="8"/>
  <c r="NP19" i="8"/>
  <c r="NO22" i="8"/>
  <c r="NO17" i="8"/>
  <c r="NO13" i="8"/>
  <c r="NO9" i="8"/>
  <c r="NN35" i="8"/>
  <c r="NN23" i="8"/>
  <c r="NN19" i="8"/>
  <c r="NN15" i="8"/>
  <c r="NN11" i="8"/>
  <c r="NM25" i="8"/>
  <c r="NM21" i="8"/>
  <c r="NM17" i="8"/>
  <c r="NM13" i="8"/>
  <c r="NM9" i="8"/>
  <c r="NL11" i="8"/>
  <c r="NL15" i="8"/>
  <c r="NL19" i="8"/>
  <c r="NL23" i="8"/>
  <c r="NL35" i="8"/>
  <c r="NP15" i="8"/>
  <c r="NO35" i="8"/>
  <c r="NO21" i="8"/>
  <c r="NO16" i="8"/>
  <c r="NO12" i="8"/>
  <c r="NO8" i="8"/>
  <c r="NN26" i="8"/>
  <c r="NN22" i="8"/>
  <c r="NN18" i="8"/>
  <c r="NN14" i="8"/>
  <c r="NN10" i="8"/>
  <c r="NM24" i="8"/>
  <c r="NM20" i="8"/>
  <c r="NM16" i="8"/>
  <c r="NM12" i="8"/>
  <c r="NM8" i="8"/>
  <c r="NL12" i="8"/>
  <c r="NL16" i="8"/>
  <c r="NL20" i="8"/>
  <c r="NL24" i="8"/>
  <c r="NP11" i="8"/>
  <c r="NO25" i="8"/>
  <c r="NO19" i="8"/>
  <c r="NO15" i="8"/>
  <c r="NO11" i="8"/>
  <c r="NN25" i="8"/>
  <c r="NN21" i="8"/>
  <c r="NN17" i="8"/>
  <c r="NN13" i="8"/>
  <c r="NN9" i="8"/>
  <c r="NM35" i="8"/>
  <c r="NM23" i="8"/>
  <c r="NM19" i="8"/>
  <c r="NM15" i="8"/>
  <c r="NM11" i="8"/>
  <c r="NL9" i="8"/>
  <c r="NL13" i="8"/>
  <c r="NL17" i="8"/>
  <c r="NL21" i="8"/>
  <c r="NL25" i="8"/>
  <c r="NO23" i="8"/>
  <c r="NO18" i="8"/>
  <c r="NO14" i="8"/>
  <c r="NO10" i="8"/>
  <c r="NN24" i="8"/>
  <c r="NN20" i="8"/>
  <c r="NN16" i="8"/>
  <c r="NN12" i="8"/>
  <c r="NN8" i="8"/>
  <c r="NM26" i="8"/>
  <c r="NM22" i="8"/>
  <c r="NM18" i="8"/>
  <c r="NM14" i="8"/>
  <c r="NM10" i="8"/>
  <c r="NL10" i="8"/>
  <c r="NL14" i="8"/>
  <c r="NL18" i="8"/>
  <c r="NL22" i="8"/>
  <c r="NL26" i="8"/>
  <c r="NL8" i="8"/>
  <c r="MF6" i="8" l="1"/>
  <c r="MF4" i="8" s="1"/>
  <c r="JV6" i="8"/>
  <c r="JV4" i="8" s="1"/>
  <c r="CR6" i="8"/>
  <c r="CR4" i="8" s="1"/>
  <c r="T6" i="8"/>
  <c r="T4" i="8" s="1"/>
  <c r="S6" i="8"/>
  <c r="S4" i="8" s="1"/>
  <c r="R6" i="8"/>
  <c r="R4" i="8" s="1"/>
  <c r="Q6" i="8"/>
  <c r="Q4" i="8" s="1"/>
  <c r="P6" i="8"/>
  <c r="P4" i="8" s="1"/>
  <c r="O6" i="8"/>
  <c r="O4" i="8" s="1"/>
  <c r="N6" i="8"/>
  <c r="N4" i="8" s="1"/>
  <c r="M6" i="8"/>
  <c r="M4" i="8" s="1"/>
  <c r="L6" i="8"/>
  <c r="L4" i="8" s="1"/>
  <c r="K6" i="8"/>
  <c r="K4" i="8" s="1"/>
  <c r="J6" i="8"/>
  <c r="J4" i="8" s="1"/>
  <c r="I6" i="8"/>
  <c r="I4" i="8" s="1"/>
  <c r="H6" i="8"/>
  <c r="H4" i="8" s="1"/>
  <c r="G6" i="8"/>
  <c r="G4" i="8" s="1"/>
  <c r="F6" i="8"/>
  <c r="F4" i="8" s="1"/>
  <c r="E6" i="8"/>
  <c r="E4" i="8" s="1"/>
  <c r="D6" i="8"/>
  <c r="D4" i="8" s="1"/>
  <c r="C6" i="8"/>
  <c r="C4" i="8" s="1"/>
  <c r="B6" i="8"/>
  <c r="B4" i="8" s="1"/>
  <c r="Z6" i="8" l="1"/>
  <c r="Z4" i="8" s="1"/>
  <c r="AD6" i="8"/>
  <c r="AD4" i="8" s="1"/>
  <c r="AP6" i="8"/>
  <c r="AP4" i="8" s="1"/>
  <c r="BB6" i="8"/>
  <c r="BB4" i="8" s="1"/>
  <c r="BR6" i="8"/>
  <c r="BR4" i="8" s="1"/>
  <c r="CD6" i="8"/>
  <c r="CD4" i="8" s="1"/>
  <c r="CP6" i="8"/>
  <c r="CP4" i="8" s="1"/>
  <c r="CY6" i="8"/>
  <c r="CY4" i="8" s="1"/>
  <c r="DO6" i="8"/>
  <c r="DO4" i="8" s="1"/>
  <c r="DW6" i="8"/>
  <c r="DW4" i="8" s="1"/>
  <c r="EI6" i="8"/>
  <c r="EI4" i="8" s="1"/>
  <c r="EU6" i="8"/>
  <c r="EU4" i="8" s="1"/>
  <c r="FG6" i="8"/>
  <c r="FG4" i="8" s="1"/>
  <c r="FS6" i="8"/>
  <c r="FS4" i="8" s="1"/>
  <c r="GE6" i="8"/>
  <c r="GE4" i="8" s="1"/>
  <c r="GQ6" i="8"/>
  <c r="GQ4" i="8" s="1"/>
  <c r="GY6" i="8"/>
  <c r="GY4" i="8" s="1"/>
  <c r="HO6" i="8"/>
  <c r="HO4" i="8" s="1"/>
  <c r="IA6" i="8"/>
  <c r="IA4" i="8" s="1"/>
  <c r="II6" i="8"/>
  <c r="II4" i="8" s="1"/>
  <c r="IY6" i="8"/>
  <c r="IY4" i="8" s="1"/>
  <c r="JK6" i="8"/>
  <c r="JK4" i="8" s="1"/>
  <c r="JW6" i="8"/>
  <c r="JW4" i="8" s="1"/>
  <c r="KI6" i="8"/>
  <c r="KI4" i="8" s="1"/>
  <c r="KU6" i="8"/>
  <c r="KU4" i="8" s="1"/>
  <c r="LG6" i="8"/>
  <c r="LG4" i="8" s="1"/>
  <c r="LS6" i="8"/>
  <c r="LS4" i="8" s="1"/>
  <c r="ME6" i="8"/>
  <c r="ME4" i="8" s="1"/>
  <c r="MI6" i="8"/>
  <c r="MI4" i="8" s="1"/>
  <c r="MU6" i="8"/>
  <c r="MU4" i="8" s="1"/>
  <c r="MY6" i="8"/>
  <c r="MY4" i="8" s="1"/>
  <c r="NC6" i="8"/>
  <c r="NC4" i="8" s="1"/>
  <c r="NG6" i="8"/>
  <c r="NG4" i="8" s="1"/>
  <c r="W6" i="8"/>
  <c r="W4" i="8" s="1"/>
  <c r="AA6" i="8"/>
  <c r="AA4" i="8" s="1"/>
  <c r="AE6" i="8"/>
  <c r="AE4" i="8" s="1"/>
  <c r="AI6" i="8"/>
  <c r="AI4" i="8" s="1"/>
  <c r="AM6" i="8"/>
  <c r="AM4" i="8" s="1"/>
  <c r="AQ6" i="8"/>
  <c r="AQ4" i="8" s="1"/>
  <c r="AU6" i="8"/>
  <c r="AU4" i="8" s="1"/>
  <c r="AY6" i="8"/>
  <c r="AY4" i="8" s="1"/>
  <c r="BC6" i="8"/>
  <c r="BC4" i="8" s="1"/>
  <c r="BG6" i="8"/>
  <c r="BG4" i="8" s="1"/>
  <c r="BK6" i="8"/>
  <c r="BK4" i="8" s="1"/>
  <c r="BO6" i="8"/>
  <c r="BO4" i="8" s="1"/>
  <c r="BS6" i="8"/>
  <c r="BS4" i="8" s="1"/>
  <c r="BW6" i="8"/>
  <c r="BW4" i="8" s="1"/>
  <c r="CA6" i="8"/>
  <c r="CA4" i="8" s="1"/>
  <c r="CE6" i="8"/>
  <c r="CE4" i="8" s="1"/>
  <c r="CI6" i="8"/>
  <c r="CI4" i="8" s="1"/>
  <c r="CM6" i="8"/>
  <c r="CM4" i="8" s="1"/>
  <c r="CV6" i="8"/>
  <c r="CV4" i="8" s="1"/>
  <c r="CZ6" i="8"/>
  <c r="CZ4" i="8" s="1"/>
  <c r="DD6" i="8"/>
  <c r="DD4" i="8" s="1"/>
  <c r="DH6" i="8"/>
  <c r="DH4" i="8" s="1"/>
  <c r="DL6" i="8"/>
  <c r="DL4" i="8" s="1"/>
  <c r="DP6" i="8"/>
  <c r="DP4" i="8" s="1"/>
  <c r="DT6" i="8"/>
  <c r="DT4" i="8" s="1"/>
  <c r="DX6" i="8"/>
  <c r="DX4" i="8" s="1"/>
  <c r="EB6" i="8"/>
  <c r="EB4" i="8" s="1"/>
  <c r="EF6" i="8"/>
  <c r="EF4" i="8" s="1"/>
  <c r="EJ6" i="8"/>
  <c r="EJ4" i="8" s="1"/>
  <c r="EN6" i="8"/>
  <c r="EN4" i="8" s="1"/>
  <c r="ER6" i="8"/>
  <c r="ER4" i="8" s="1"/>
  <c r="EV6" i="8"/>
  <c r="EV4" i="8" s="1"/>
  <c r="EZ6" i="8"/>
  <c r="EZ4" i="8" s="1"/>
  <c r="FD6" i="8"/>
  <c r="FD4" i="8" s="1"/>
  <c r="FH6" i="8"/>
  <c r="FH4" i="8" s="1"/>
  <c r="FL6" i="8"/>
  <c r="FL4" i="8" s="1"/>
  <c r="FP6" i="8"/>
  <c r="FP4" i="8" s="1"/>
  <c r="FT6" i="8"/>
  <c r="FT4" i="8" s="1"/>
  <c r="FX6" i="8"/>
  <c r="FX4" i="8" s="1"/>
  <c r="GB6" i="8"/>
  <c r="GB4" i="8" s="1"/>
  <c r="GF6" i="8"/>
  <c r="GF4" i="8" s="1"/>
  <c r="GJ6" i="8"/>
  <c r="GJ4" i="8" s="1"/>
  <c r="GN6" i="8"/>
  <c r="GN4" i="8" s="1"/>
  <c r="GR6" i="8"/>
  <c r="GR4" i="8" s="1"/>
  <c r="GV6" i="8"/>
  <c r="GV4" i="8" s="1"/>
  <c r="GZ6" i="8"/>
  <c r="GZ4" i="8" s="1"/>
  <c r="HD6" i="8"/>
  <c r="HD4" i="8" s="1"/>
  <c r="HH6" i="8"/>
  <c r="HH4" i="8" s="1"/>
  <c r="HL6" i="8"/>
  <c r="HL4" i="8" s="1"/>
  <c r="HP6" i="8"/>
  <c r="HP4" i="8" s="1"/>
  <c r="HT6" i="8"/>
  <c r="HT4" i="8" s="1"/>
  <c r="HX6" i="8"/>
  <c r="HX4" i="8" s="1"/>
  <c r="IB6" i="8"/>
  <c r="IB4" i="8" s="1"/>
  <c r="IF6" i="8"/>
  <c r="IF4" i="8" s="1"/>
  <c r="IJ6" i="8"/>
  <c r="IJ4" i="8" s="1"/>
  <c r="IN6" i="8"/>
  <c r="IN4" i="8" s="1"/>
  <c r="IR6" i="8"/>
  <c r="IR4" i="8" s="1"/>
  <c r="IV6" i="8"/>
  <c r="IV4" i="8" s="1"/>
  <c r="IZ6" i="8"/>
  <c r="IZ4" i="8" s="1"/>
  <c r="JD6" i="8"/>
  <c r="JD4" i="8" s="1"/>
  <c r="JH6" i="8"/>
  <c r="JH4" i="8" s="1"/>
  <c r="JL6" i="8"/>
  <c r="JL4" i="8" s="1"/>
  <c r="JP6" i="8"/>
  <c r="JP4" i="8" s="1"/>
  <c r="JT6" i="8"/>
  <c r="JT4" i="8" s="1"/>
  <c r="JX6" i="8"/>
  <c r="JX4" i="8" s="1"/>
  <c r="KB6" i="8"/>
  <c r="KB4" i="8" s="1"/>
  <c r="KF6" i="8"/>
  <c r="KF4" i="8" s="1"/>
  <c r="KJ6" i="8"/>
  <c r="KJ4" i="8" s="1"/>
  <c r="KN6" i="8"/>
  <c r="KN4" i="8" s="1"/>
  <c r="KR6" i="8"/>
  <c r="KR4" i="8" s="1"/>
  <c r="KV6" i="8"/>
  <c r="KV4" i="8" s="1"/>
  <c r="KZ6" i="8"/>
  <c r="KZ4" i="8" s="1"/>
  <c r="LD6" i="8"/>
  <c r="LD4" i="8" s="1"/>
  <c r="LH6" i="8"/>
  <c r="LH4" i="8" s="1"/>
  <c r="LL6" i="8"/>
  <c r="LL4" i="8" s="1"/>
  <c r="LP6" i="8"/>
  <c r="LP4" i="8" s="1"/>
  <c r="LT6" i="8"/>
  <c r="LT4" i="8" s="1"/>
  <c r="LX6" i="8"/>
  <c r="LX4" i="8" s="1"/>
  <c r="MB6" i="8"/>
  <c r="MB4" i="8" s="1"/>
  <c r="MJ6" i="8"/>
  <c r="MJ4" i="8" s="1"/>
  <c r="MN6" i="8"/>
  <c r="MN4" i="8" s="1"/>
  <c r="MR6" i="8"/>
  <c r="MR4" i="8" s="1"/>
  <c r="MV6" i="8"/>
  <c r="MV4" i="8" s="1"/>
  <c r="MZ6" i="8"/>
  <c r="MZ4" i="8" s="1"/>
  <c r="ND6" i="8"/>
  <c r="ND4" i="8" s="1"/>
  <c r="NH6" i="8"/>
  <c r="NH4" i="8" s="1"/>
  <c r="AH6" i="8"/>
  <c r="AH4" i="8" s="1"/>
  <c r="AX6" i="8"/>
  <c r="AX4" i="8" s="1"/>
  <c r="BJ6" i="8"/>
  <c r="BJ4" i="8" s="1"/>
  <c r="BV6" i="8"/>
  <c r="BV4" i="8" s="1"/>
  <c r="CH6" i="8"/>
  <c r="CH4" i="8" s="1"/>
  <c r="CU6" i="8"/>
  <c r="CU4" i="8" s="1"/>
  <c r="DG6" i="8"/>
  <c r="DG4" i="8" s="1"/>
  <c r="DS6" i="8"/>
  <c r="DS4" i="8" s="1"/>
  <c r="EE6" i="8"/>
  <c r="EE4" i="8" s="1"/>
  <c r="EQ6" i="8"/>
  <c r="EQ4" i="8" s="1"/>
  <c r="FC6" i="8"/>
  <c r="FC4" i="8" s="1"/>
  <c r="FO6" i="8"/>
  <c r="FO4" i="8" s="1"/>
  <c r="GA6" i="8"/>
  <c r="GA4" i="8" s="1"/>
  <c r="GM6" i="8"/>
  <c r="GM4" i="8" s="1"/>
  <c r="HC6" i="8"/>
  <c r="HC4" i="8" s="1"/>
  <c r="HK6" i="8"/>
  <c r="HK4" i="8" s="1"/>
  <c r="IE6" i="8"/>
  <c r="IE4" i="8" s="1"/>
  <c r="IQ6" i="8"/>
  <c r="IQ4" i="8" s="1"/>
  <c r="JC6" i="8"/>
  <c r="JC4" i="8" s="1"/>
  <c r="JO6" i="8"/>
  <c r="JO4" i="8" s="1"/>
  <c r="KA6" i="8"/>
  <c r="KA4" i="8" s="1"/>
  <c r="KM6" i="8"/>
  <c r="KM4" i="8" s="1"/>
  <c r="KY6" i="8"/>
  <c r="KY4" i="8" s="1"/>
  <c r="LK6" i="8"/>
  <c r="LK4" i="8" s="1"/>
  <c r="MA6" i="8"/>
  <c r="MA4" i="8" s="1"/>
  <c r="MQ6" i="8"/>
  <c r="MQ4" i="8" s="1"/>
  <c r="AB6" i="8"/>
  <c r="AB4" i="8" s="1"/>
  <c r="AJ6" i="8"/>
  <c r="AJ4" i="8" s="1"/>
  <c r="AN6" i="8"/>
  <c r="AN4" i="8" s="1"/>
  <c r="AR6" i="8"/>
  <c r="AR4" i="8" s="1"/>
  <c r="AV6" i="8"/>
  <c r="AV4" i="8" s="1"/>
  <c r="AZ6" i="8"/>
  <c r="AZ4" i="8" s="1"/>
  <c r="BD6" i="8"/>
  <c r="BD4" i="8" s="1"/>
  <c r="BH6" i="8"/>
  <c r="BH4" i="8" s="1"/>
  <c r="BL6" i="8"/>
  <c r="BL4" i="8" s="1"/>
  <c r="BP6" i="8"/>
  <c r="BP4" i="8" s="1"/>
  <c r="BT6" i="8"/>
  <c r="BT4" i="8" s="1"/>
  <c r="BX6" i="8"/>
  <c r="BX4" i="8" s="1"/>
  <c r="CB6" i="8"/>
  <c r="CB4" i="8" s="1"/>
  <c r="CF6" i="8"/>
  <c r="CF4" i="8" s="1"/>
  <c r="CJ6" i="8"/>
  <c r="CJ4" i="8" s="1"/>
  <c r="CN6" i="8"/>
  <c r="CN4" i="8" s="1"/>
  <c r="CS6" i="8"/>
  <c r="CS4" i="8" s="1"/>
  <c r="CW6" i="8"/>
  <c r="CW4" i="8" s="1"/>
  <c r="DA6" i="8"/>
  <c r="DA4" i="8" s="1"/>
  <c r="DE6" i="8"/>
  <c r="DE4" i="8" s="1"/>
  <c r="DI6" i="8"/>
  <c r="DI4" i="8" s="1"/>
  <c r="DM6" i="8"/>
  <c r="DM4" i="8" s="1"/>
  <c r="DQ6" i="8"/>
  <c r="DQ4" i="8" s="1"/>
  <c r="DU6" i="8"/>
  <c r="DU4" i="8" s="1"/>
  <c r="DY6" i="8"/>
  <c r="DY4" i="8" s="1"/>
  <c r="EC6" i="8"/>
  <c r="EC4" i="8" s="1"/>
  <c r="EG6" i="8"/>
  <c r="EG4" i="8" s="1"/>
  <c r="EK6" i="8"/>
  <c r="EK4" i="8" s="1"/>
  <c r="EO6" i="8"/>
  <c r="EO4" i="8" s="1"/>
  <c r="ES6" i="8"/>
  <c r="ES4" i="8" s="1"/>
  <c r="EW6" i="8"/>
  <c r="EW4" i="8" s="1"/>
  <c r="FA6" i="8"/>
  <c r="FA4" i="8" s="1"/>
  <c r="FE6" i="8"/>
  <c r="FE4" i="8" s="1"/>
  <c r="FI6" i="8"/>
  <c r="FI4" i="8" s="1"/>
  <c r="FM6" i="8"/>
  <c r="FM4" i="8" s="1"/>
  <c r="FQ6" i="8"/>
  <c r="FQ4" i="8" s="1"/>
  <c r="FU6" i="8"/>
  <c r="FU4" i="8" s="1"/>
  <c r="FY6" i="8"/>
  <c r="FY4" i="8" s="1"/>
  <c r="GC6" i="8"/>
  <c r="GC4" i="8" s="1"/>
  <c r="GG6" i="8"/>
  <c r="GG4" i="8" s="1"/>
  <c r="GK6" i="8"/>
  <c r="GK4" i="8" s="1"/>
  <c r="GO6" i="8"/>
  <c r="GO4" i="8" s="1"/>
  <c r="GS6" i="8"/>
  <c r="GS4" i="8" s="1"/>
  <c r="GW6" i="8"/>
  <c r="GW4" i="8" s="1"/>
  <c r="HA6" i="8"/>
  <c r="HA4" i="8" s="1"/>
  <c r="HE6" i="8"/>
  <c r="HE4" i="8" s="1"/>
  <c r="HI6" i="8"/>
  <c r="HI4" i="8" s="1"/>
  <c r="HM6" i="8"/>
  <c r="HM4" i="8" s="1"/>
  <c r="HQ6" i="8"/>
  <c r="HQ4" i="8" s="1"/>
  <c r="HU6" i="8"/>
  <c r="HU4" i="8" s="1"/>
  <c r="HY6" i="8"/>
  <c r="HY4" i="8" s="1"/>
  <c r="IC6" i="8"/>
  <c r="IC4" i="8" s="1"/>
  <c r="IG6" i="8"/>
  <c r="IG4" i="8" s="1"/>
  <c r="IK6" i="8"/>
  <c r="IK4" i="8" s="1"/>
  <c r="IO6" i="8"/>
  <c r="IO4" i="8" s="1"/>
  <c r="IS6" i="8"/>
  <c r="IS4" i="8" s="1"/>
  <c r="IW6" i="8"/>
  <c r="IW4" i="8" s="1"/>
  <c r="JA6" i="8"/>
  <c r="JA4" i="8" s="1"/>
  <c r="JE6" i="8"/>
  <c r="JE4" i="8" s="1"/>
  <c r="JI6" i="8"/>
  <c r="JI4" i="8" s="1"/>
  <c r="JM6" i="8"/>
  <c r="JM4" i="8" s="1"/>
  <c r="JQ6" i="8"/>
  <c r="JQ4" i="8" s="1"/>
  <c r="JU6" i="8"/>
  <c r="JU4" i="8" s="1"/>
  <c r="JY6" i="8"/>
  <c r="JY4" i="8" s="1"/>
  <c r="KC6" i="8"/>
  <c r="KC4" i="8" s="1"/>
  <c r="KG6" i="8"/>
  <c r="KG4" i="8" s="1"/>
  <c r="KK6" i="8"/>
  <c r="KK4" i="8" s="1"/>
  <c r="KO6" i="8"/>
  <c r="KO4" i="8" s="1"/>
  <c r="KS6" i="8"/>
  <c r="KS4" i="8" s="1"/>
  <c r="KW6" i="8"/>
  <c r="KW4" i="8" s="1"/>
  <c r="LA6" i="8"/>
  <c r="LA4" i="8" s="1"/>
  <c r="LE6" i="8"/>
  <c r="LE4" i="8" s="1"/>
  <c r="LI6" i="8"/>
  <c r="LI4" i="8" s="1"/>
  <c r="LM6" i="8"/>
  <c r="LM4" i="8" s="1"/>
  <c r="LQ6" i="8"/>
  <c r="LQ4" i="8" s="1"/>
  <c r="LU6" i="8"/>
  <c r="LU4" i="8" s="1"/>
  <c r="LY6" i="8"/>
  <c r="LY4" i="8" s="1"/>
  <c r="MC6" i="8"/>
  <c r="MC4" i="8" s="1"/>
  <c r="MG6" i="8"/>
  <c r="MG4" i="8" s="1"/>
  <c r="MK6" i="8"/>
  <c r="MK4" i="8" s="1"/>
  <c r="MO6" i="8"/>
  <c r="MO4" i="8" s="1"/>
  <c r="MS6" i="8"/>
  <c r="MS4" i="8" s="1"/>
  <c r="MW6" i="8"/>
  <c r="MW4" i="8" s="1"/>
  <c r="NA6" i="8"/>
  <c r="NA4" i="8" s="1"/>
  <c r="NE6" i="8"/>
  <c r="NE4" i="8" s="1"/>
  <c r="NI6" i="8"/>
  <c r="NI4" i="8" s="1"/>
  <c r="V6" i="8"/>
  <c r="V4" i="8" s="1"/>
  <c r="AL6" i="8"/>
  <c r="AL4" i="8" s="1"/>
  <c r="AT6" i="8"/>
  <c r="AT4" i="8" s="1"/>
  <c r="BF6" i="8"/>
  <c r="BF4" i="8" s="1"/>
  <c r="BN6" i="8"/>
  <c r="BN4" i="8" s="1"/>
  <c r="BZ6" i="8"/>
  <c r="BZ4" i="8" s="1"/>
  <c r="CL6" i="8"/>
  <c r="CL4" i="8" s="1"/>
  <c r="DC6" i="8"/>
  <c r="DC4" i="8" s="1"/>
  <c r="DK6" i="8"/>
  <c r="DK4" i="8" s="1"/>
  <c r="EA6" i="8"/>
  <c r="EA4" i="8" s="1"/>
  <c r="EM6" i="8"/>
  <c r="EM4" i="8" s="1"/>
  <c r="EY6" i="8"/>
  <c r="EY4" i="8" s="1"/>
  <c r="FK6" i="8"/>
  <c r="FK4" i="8" s="1"/>
  <c r="FW6" i="8"/>
  <c r="FW4" i="8" s="1"/>
  <c r="GI6" i="8"/>
  <c r="GI4" i="8" s="1"/>
  <c r="GU6" i="8"/>
  <c r="GU4" i="8" s="1"/>
  <c r="HG6" i="8"/>
  <c r="HG4" i="8" s="1"/>
  <c r="HS6" i="8"/>
  <c r="HS4" i="8" s="1"/>
  <c r="HW6" i="8"/>
  <c r="HW4" i="8" s="1"/>
  <c r="IM6" i="8"/>
  <c r="IM4" i="8" s="1"/>
  <c r="IU6" i="8"/>
  <c r="IU4" i="8" s="1"/>
  <c r="JG6" i="8"/>
  <c r="JG4" i="8" s="1"/>
  <c r="JS6" i="8"/>
  <c r="JS4" i="8" s="1"/>
  <c r="KE6" i="8"/>
  <c r="KE4" i="8" s="1"/>
  <c r="KQ6" i="8"/>
  <c r="KQ4" i="8" s="1"/>
  <c r="LC6" i="8"/>
  <c r="LC4" i="8" s="1"/>
  <c r="LO6" i="8"/>
  <c r="LO4" i="8" s="1"/>
  <c r="LW6" i="8"/>
  <c r="LW4" i="8" s="1"/>
  <c r="MM6" i="8"/>
  <c r="MM4" i="8" s="1"/>
  <c r="X6" i="8"/>
  <c r="X4" i="8" s="1"/>
  <c r="AF6" i="8"/>
  <c r="AF4" i="8" s="1"/>
  <c r="U6" i="8"/>
  <c r="U4" i="8" s="1"/>
  <c r="Y6" i="8"/>
  <c r="Y4" i="8" s="1"/>
  <c r="AC6" i="8"/>
  <c r="AC4" i="8" s="1"/>
  <c r="AK6" i="8"/>
  <c r="AK4" i="8" s="1"/>
  <c r="AO6" i="8"/>
  <c r="AO4" i="8" s="1"/>
  <c r="AS6" i="8"/>
  <c r="AS4" i="8" s="1"/>
  <c r="AW6" i="8"/>
  <c r="AW4" i="8" s="1"/>
  <c r="BA6" i="8"/>
  <c r="BA4" i="8" s="1"/>
  <c r="BE6" i="8"/>
  <c r="BE4" i="8" s="1"/>
  <c r="BI6" i="8"/>
  <c r="BI4" i="8" s="1"/>
  <c r="BM6" i="8"/>
  <c r="BM4" i="8" s="1"/>
  <c r="BQ6" i="8"/>
  <c r="BQ4" i="8" s="1"/>
  <c r="BU6" i="8"/>
  <c r="BU4" i="8" s="1"/>
  <c r="BY6" i="8"/>
  <c r="BY4" i="8" s="1"/>
  <c r="CC6" i="8"/>
  <c r="CC4" i="8" s="1"/>
  <c r="CG6" i="8"/>
  <c r="CG4" i="8" s="1"/>
  <c r="CK6" i="8"/>
  <c r="CK4" i="8" s="1"/>
  <c r="CO6" i="8"/>
  <c r="CO4" i="8" s="1"/>
  <c r="CT6" i="8"/>
  <c r="CT4" i="8" s="1"/>
  <c r="CX6" i="8"/>
  <c r="CX4" i="8" s="1"/>
  <c r="DB6" i="8"/>
  <c r="DB4" i="8" s="1"/>
  <c r="DF6" i="8"/>
  <c r="DF4" i="8" s="1"/>
  <c r="DJ6" i="8"/>
  <c r="DJ4" i="8" s="1"/>
  <c r="DN6" i="8"/>
  <c r="DN4" i="8" s="1"/>
  <c r="DR6" i="8"/>
  <c r="DR4" i="8" s="1"/>
  <c r="DV6" i="8"/>
  <c r="DV4" i="8" s="1"/>
  <c r="DZ6" i="8"/>
  <c r="DZ4" i="8" s="1"/>
  <c r="ED6" i="8"/>
  <c r="ED4" i="8" s="1"/>
  <c r="EH6" i="8"/>
  <c r="EH4" i="8" s="1"/>
  <c r="EL6" i="8"/>
  <c r="EL4" i="8" s="1"/>
  <c r="EP6" i="8"/>
  <c r="EP4" i="8" s="1"/>
  <c r="ET6" i="8"/>
  <c r="ET4" i="8" s="1"/>
  <c r="EX6" i="8"/>
  <c r="EX4" i="8" s="1"/>
  <c r="FB6" i="8"/>
  <c r="FB4" i="8" s="1"/>
  <c r="FF6" i="8"/>
  <c r="FF4" i="8" s="1"/>
  <c r="FJ6" i="8"/>
  <c r="FJ4" i="8" s="1"/>
  <c r="FN6" i="8"/>
  <c r="FN4" i="8" s="1"/>
  <c r="FR6" i="8"/>
  <c r="FR4" i="8" s="1"/>
  <c r="FV6" i="8"/>
  <c r="FV4" i="8" s="1"/>
  <c r="FZ6" i="8"/>
  <c r="FZ4" i="8" s="1"/>
  <c r="GD6" i="8"/>
  <c r="GD4" i="8" s="1"/>
  <c r="GH6" i="8"/>
  <c r="GH4" i="8" s="1"/>
  <c r="GL6" i="8"/>
  <c r="GL4" i="8" s="1"/>
  <c r="GP6" i="8"/>
  <c r="GP4" i="8" s="1"/>
  <c r="GT6" i="8"/>
  <c r="GT4" i="8" s="1"/>
  <c r="GX6" i="8"/>
  <c r="GX4" i="8" s="1"/>
  <c r="HB6" i="8"/>
  <c r="HB4" i="8" s="1"/>
  <c r="HF6" i="8"/>
  <c r="HF4" i="8" s="1"/>
  <c r="HJ6" i="8"/>
  <c r="HJ4" i="8" s="1"/>
  <c r="HN6" i="8"/>
  <c r="HN4" i="8" s="1"/>
  <c r="HR6" i="8"/>
  <c r="HR4" i="8" s="1"/>
  <c r="HV6" i="8"/>
  <c r="HV4" i="8" s="1"/>
  <c r="HZ6" i="8"/>
  <c r="HZ4" i="8" s="1"/>
  <c r="ID6" i="8"/>
  <c r="ID4" i="8" s="1"/>
  <c r="IH6" i="8"/>
  <c r="IH4" i="8" s="1"/>
  <c r="IL6" i="8"/>
  <c r="IL4" i="8" s="1"/>
  <c r="IP6" i="8"/>
  <c r="IP4" i="8" s="1"/>
  <c r="IT6" i="8"/>
  <c r="IT4" i="8" s="1"/>
  <c r="IX6" i="8"/>
  <c r="IX4" i="8" s="1"/>
  <c r="JB6" i="8"/>
  <c r="JB4" i="8" s="1"/>
  <c r="JF6" i="8"/>
  <c r="JF4" i="8" s="1"/>
  <c r="JJ6" i="8"/>
  <c r="JJ4" i="8" s="1"/>
  <c r="JN6" i="8"/>
  <c r="JN4" i="8" s="1"/>
  <c r="JR6" i="8"/>
  <c r="JR4" i="8" s="1"/>
  <c r="JZ6" i="8"/>
  <c r="JZ4" i="8" s="1"/>
  <c r="KD6" i="8"/>
  <c r="KD4" i="8" s="1"/>
  <c r="KH6" i="8"/>
  <c r="KH4" i="8" s="1"/>
  <c r="KL6" i="8"/>
  <c r="KL4" i="8" s="1"/>
  <c r="KP6" i="8"/>
  <c r="KP4" i="8" s="1"/>
  <c r="KT6" i="8"/>
  <c r="KT4" i="8" s="1"/>
  <c r="KX6" i="8"/>
  <c r="KX4" i="8" s="1"/>
  <c r="LB6" i="8"/>
  <c r="LB4" i="8" s="1"/>
  <c r="LF6" i="8"/>
  <c r="LF4" i="8" s="1"/>
  <c r="LJ6" i="8"/>
  <c r="LJ4" i="8" s="1"/>
  <c r="LN6" i="8"/>
  <c r="LN4" i="8" s="1"/>
  <c r="LR6" i="8"/>
  <c r="LR4" i="8" s="1"/>
  <c r="LV6" i="8"/>
  <c r="LV4" i="8" s="1"/>
  <c r="LZ6" i="8"/>
  <c r="LZ4" i="8" s="1"/>
  <c r="MD6" i="8"/>
  <c r="MD4" i="8" s="1"/>
  <c r="MH6" i="8"/>
  <c r="MH4" i="8" s="1"/>
  <c r="ML6" i="8"/>
  <c r="ML4" i="8" s="1"/>
  <c r="MP6" i="8"/>
  <c r="MP4" i="8" s="1"/>
  <c r="MT6" i="8"/>
  <c r="MT4" i="8" s="1"/>
  <c r="MX6" i="8"/>
  <c r="MX4" i="8" s="1"/>
  <c r="NB6" i="8"/>
  <c r="NB4" i="8" s="1"/>
  <c r="NF6" i="8"/>
  <c r="NF4" i="8" s="1"/>
  <c r="NJ6" i="8"/>
  <c r="NJ4" i="8" s="1"/>
  <c r="AD7" i="8"/>
  <c r="V7" i="8" l="1"/>
  <c r="F7" i="8"/>
  <c r="E7" i="8"/>
  <c r="D7" i="8"/>
  <c r="R7" i="8"/>
  <c r="AF7" i="8"/>
  <c r="Z7" i="8"/>
  <c r="J7" i="8"/>
  <c r="X7" i="8"/>
  <c r="Y7" i="8"/>
  <c r="I7" i="8"/>
  <c r="L7" i="8"/>
  <c r="W7" i="8"/>
  <c r="G7" i="8"/>
  <c r="P7" i="8"/>
  <c r="S7" i="8"/>
  <c r="B7" i="8"/>
  <c r="H7" i="8"/>
  <c r="Q7" i="8"/>
  <c r="AB7" i="8"/>
  <c r="AE7" i="8"/>
  <c r="O7" i="8"/>
  <c r="U7" i="8"/>
  <c r="C7" i="8"/>
  <c r="N7" i="8"/>
  <c r="AC7" i="8"/>
  <c r="M7" i="8"/>
  <c r="T7" i="8"/>
  <c r="AA7" i="8"/>
  <c r="K7" i="8"/>
</calcChain>
</file>

<file path=xl/sharedStrings.xml><?xml version="1.0" encoding="utf-8"?>
<sst xmlns="http://schemas.openxmlformats.org/spreadsheetml/2006/main" count="728" uniqueCount="203">
  <si>
    <t>February</t>
  </si>
  <si>
    <t>March</t>
  </si>
  <si>
    <t>April</t>
  </si>
  <si>
    <t>May</t>
  </si>
  <si>
    <t>June</t>
  </si>
  <si>
    <t>July</t>
  </si>
  <si>
    <t>August</t>
  </si>
  <si>
    <t>September</t>
  </si>
  <si>
    <t>October</t>
  </si>
  <si>
    <t>November</t>
  </si>
  <si>
    <t>December</t>
  </si>
  <si>
    <t>Mon</t>
  </si>
  <si>
    <t>Tue</t>
  </si>
  <si>
    <t>Wed</t>
  </si>
  <si>
    <t>Thu</t>
  </si>
  <si>
    <t>Fri</t>
  </si>
  <si>
    <t>Sat</t>
  </si>
  <si>
    <t>Sun</t>
  </si>
  <si>
    <t>Week #</t>
  </si>
  <si>
    <t>January</t>
  </si>
  <si>
    <t>Holiday</t>
  </si>
  <si>
    <t>Date</t>
  </si>
  <si>
    <t>New Year Day</t>
  </si>
  <si>
    <t>Easter</t>
  </si>
  <si>
    <t>Christmas Day</t>
  </si>
  <si>
    <t>Casual Leave</t>
  </si>
  <si>
    <t>S</t>
  </si>
  <si>
    <t>M</t>
  </si>
  <si>
    <t>C</t>
  </si>
  <si>
    <t>Name</t>
  </si>
  <si>
    <t>Select Working Days</t>
  </si>
  <si>
    <t>No</t>
  </si>
  <si>
    <t>Yes</t>
  </si>
  <si>
    <t>Leaves This Year</t>
  </si>
  <si>
    <t>Leave Breakup</t>
  </si>
  <si>
    <t>H1</t>
  </si>
  <si>
    <t>H2</t>
  </si>
  <si>
    <t>P</t>
  </si>
  <si>
    <t>Code</t>
  </si>
  <si>
    <t xml:space="preserve">Compassionate </t>
  </si>
  <si>
    <t>Co</t>
  </si>
  <si>
    <t>W</t>
  </si>
  <si>
    <t>Half Day Leave 1</t>
  </si>
  <si>
    <t>Half Day Leave 2</t>
  </si>
  <si>
    <t>FAQs</t>
  </si>
  <si>
    <t>Q: I tried downloading the file but it downloaded as a zip. How do I use it?
A: I have fixed this issue, and now you should be able to download the Excel file directly.</t>
  </si>
  <si>
    <t>Q: When I change the month, the exiting leaves are reflected in the changed month as well.
A: This happens when you use cell A1 to change the month. You need to use the arrow icons to change months. Cell A1 is to be used only to set the starting month of the calendar. For example, if you want the calendar to start from April, make cell A1 value 4. Now to move to March, use the triangle icons.</t>
  </si>
  <si>
    <t>Q: I need to track multiple years of leaves. Do I need to create a new worksheet for each year (financial year)?
A: Yes! This leave tracker can only track leaves for a 12 month period. You need to create a copy for each year.</t>
  </si>
  <si>
    <t xml:space="preserve">
Q: Can I use my own leave codes?
A: Yes! You can change the leave code in cells NX8:NX17. You also need to specify the same code in cells NL5:NU5. For example, if you change the Work from Home leave code to X, you also need to change it in NR5.</t>
  </si>
  <si>
    <t>AL</t>
  </si>
  <si>
    <t>Annual Leave</t>
  </si>
  <si>
    <t>UP</t>
  </si>
  <si>
    <t>Good Friday</t>
  </si>
  <si>
    <t>Labour Day VIC</t>
  </si>
  <si>
    <t>Australia Day</t>
  </si>
  <si>
    <t>Easter Monday</t>
  </si>
  <si>
    <t>Anzac Day</t>
  </si>
  <si>
    <t>Queens Birthday</t>
  </si>
  <si>
    <t>Boxing Day</t>
  </si>
  <si>
    <t>Department</t>
  </si>
  <si>
    <t>Bui, Huy Kien(Lucas)</t>
  </si>
  <si>
    <t>Chu, Thanh Toan</t>
  </si>
  <si>
    <t>Dang, Hoang Hong Hai</t>
  </si>
  <si>
    <t>DUONG, DANH KAI</t>
  </si>
  <si>
    <t>Duong, Man Nhi (Belle)</t>
  </si>
  <si>
    <t>DUONG, QUOC PHU</t>
  </si>
  <si>
    <t>Ferolino, Christal</t>
  </si>
  <si>
    <t>HA, VAN PHUONG (ETHAN)</t>
  </si>
  <si>
    <t>HUANG, MING (MING)</t>
  </si>
  <si>
    <t>Khairah, Zuhairatul (Ira)</t>
  </si>
  <si>
    <t>LAI, HAN THI NGOC (HANNAH)</t>
  </si>
  <si>
    <t>Le, Quoc Duc</t>
  </si>
  <si>
    <t>LIN, TING (CHRISTINE)</t>
  </si>
  <si>
    <t>Lin, Yongshuang (Amy)</t>
  </si>
  <si>
    <t>Liu, Xiaoli</t>
  </si>
  <si>
    <t>NGEOH, KUAN POH</t>
  </si>
  <si>
    <t>Nguyen, Kieu Dan Thanh (Dani)</t>
  </si>
  <si>
    <t>Nguyen, Le Tuyet Nhut (May)</t>
  </si>
  <si>
    <t>NGUYEN, NGOC HUONG</t>
  </si>
  <si>
    <t>NGUYEN, NU TRAM NHI (DORRIS)</t>
  </si>
  <si>
    <t>Nguyen, Thi Diem Suong (Joe)</t>
  </si>
  <si>
    <t>NGUYEN, THI MAI TRAM (VIVIAN)</t>
  </si>
  <si>
    <t>Nguyen, Thi Ngoc Bich (Selina)</t>
  </si>
  <si>
    <t>Nguyen, Thi Ngoc Linh (Linh)</t>
  </si>
  <si>
    <t>Nguyen, Thi Yen (Angela)</t>
  </si>
  <si>
    <t>Nguyen, Thuy Thanh Vy</t>
  </si>
  <si>
    <t>Nguyen, Trang Bao Ngoc</t>
  </si>
  <si>
    <t>NGUYEN, TRONG NGHIA (SEVEN)</t>
  </si>
  <si>
    <t>Nurhalza, Nadia (Nad)</t>
  </si>
  <si>
    <t>Pei, Xiang</t>
  </si>
  <si>
    <t>Phan Thi Thu Hien</t>
  </si>
  <si>
    <t>Phan, Van Duc Nhat(Jiro)</t>
  </si>
  <si>
    <t>TRAN, CAO QUOC LOC (LEO)</t>
  </si>
  <si>
    <t>Tran, Thanh Sang (SANG)</t>
  </si>
  <si>
    <t>Tran, Thi My Loan (LOAN)</t>
  </si>
  <si>
    <t>TRIEU, DINH THI (LUCY)</t>
  </si>
  <si>
    <t>Tuliau, Samasoni</t>
  </si>
  <si>
    <t>Vu, Manh Hung(Felix)</t>
  </si>
  <si>
    <t>Wang, Yuanjie (Geron)</t>
  </si>
  <si>
    <t>Yang, Hongcai</t>
  </si>
  <si>
    <t>NGUYEN, MINH DAI (DANNY)</t>
  </si>
  <si>
    <t>Tran, Thi Minh Hoai (Helia)</t>
  </si>
  <si>
    <t>Barrionuevo Ramirez, Alexis Stuard</t>
  </si>
  <si>
    <t>Bui, Thi Hong Luu</t>
  </si>
  <si>
    <t>CHEN, LI HONG</t>
  </si>
  <si>
    <t>DINH, MINH TAM</t>
  </si>
  <si>
    <t>Harijono, Chyntia</t>
  </si>
  <si>
    <t>HE, WUJIE (JAY)</t>
  </si>
  <si>
    <t>HO, HUYNH THIEN KIM (KIMMIE)</t>
  </si>
  <si>
    <t>Hoang, Vu Diep (David)</t>
  </si>
  <si>
    <t>HUYNH, CONG HAU (DAVID)</t>
  </si>
  <si>
    <t>JIN, XIAOLIN (JOY)</t>
  </si>
  <si>
    <t>KONG, KATHLEEN</t>
  </si>
  <si>
    <t>LAI, YUNRONG (ALLAN)</t>
  </si>
  <si>
    <t>LI, TAO (TERRY)</t>
  </si>
  <si>
    <t>LIN, WENQIANG (LYNN) - 482</t>
  </si>
  <si>
    <t>Lo, Thi Nhung (Anna)</t>
  </si>
  <si>
    <t>Lu, Chia Hui (Jenny)</t>
  </si>
  <si>
    <t>Nghiem, Thi Xuan</t>
  </si>
  <si>
    <t>NGUYEN, DANG VUONG (OLWEN)</t>
  </si>
  <si>
    <t>Nguyen, Duc Huy(Peter)</t>
  </si>
  <si>
    <t>NGUYEN, THI TO LINH  (LILY)</t>
  </si>
  <si>
    <t>PHAM, PHUOC MAN</t>
  </si>
  <si>
    <t>Pham, Van Phuoc (John)</t>
  </si>
  <si>
    <t>RENMEI, LI (JELLY)</t>
  </si>
  <si>
    <t>SAM, VAN TOAN (GARY)</t>
  </si>
  <si>
    <t>SHAO, YI TING (OLIVIA)</t>
  </si>
  <si>
    <t>SONG, VINH</t>
  </si>
  <si>
    <t>THAI, THI TRA GIANG</t>
  </si>
  <si>
    <t>TRAN, LINH DUY</t>
  </si>
  <si>
    <t>TRAN, THANH TUAN (JOE)</t>
  </si>
  <si>
    <t>TRAN, THI THANH HUONG (LINDA)</t>
  </si>
  <si>
    <t>Xu, Lijie</t>
  </si>
  <si>
    <t>Zhang, Dong Hai (Anson)</t>
  </si>
  <si>
    <t>Zhang, Mingtao (Brody)</t>
  </si>
  <si>
    <t>ZHAO, CHUAN (carl)</t>
  </si>
  <si>
    <t>Baleilakeba, Bulivanua Cerevakarua</t>
  </si>
  <si>
    <t>Bao, Quang Ja Sin</t>
  </si>
  <si>
    <t>Bolavucu, Lanieta</t>
  </si>
  <si>
    <t>Brown, Mesake</t>
  </si>
  <si>
    <t>Budde, Troy</t>
  </si>
  <si>
    <t>BUI, HUU HOANG (TOM)</t>
  </si>
  <si>
    <t>Bui, Quoc Cuong (Vincent)</t>
  </si>
  <si>
    <t>Dinati, Petero</t>
  </si>
  <si>
    <t>DINH, THI TUYET TRINH (CLARA)</t>
  </si>
  <si>
    <t>DINH, VAN HONG</t>
  </si>
  <si>
    <t>DO, HUU PHUNG (RYAN)</t>
  </si>
  <si>
    <t>Drua, Filimone</t>
  </si>
  <si>
    <t>Duong, Thi My Huong (Cherry)</t>
  </si>
  <si>
    <t>Erardo, Charish Coton</t>
  </si>
  <si>
    <t>Faalelei, Savali</t>
  </si>
  <si>
    <t>Foreqe, Vereniki(Frank)</t>
  </si>
  <si>
    <t>Ha, Van Binh</t>
  </si>
  <si>
    <t>Han, Mengping (Judy)</t>
  </si>
  <si>
    <t>Ho, Thi Thu Huyen</t>
  </si>
  <si>
    <t>Hoang, Ngoc Bich Tran</t>
  </si>
  <si>
    <t>Huang, Mingye</t>
  </si>
  <si>
    <t>Idris, Mohammad</t>
  </si>
  <si>
    <t>Khawari, Abdul</t>
  </si>
  <si>
    <t>Lu, Jianxin</t>
  </si>
  <si>
    <t>Mai, Nguyen Hoang Lam (Andre) - 482</t>
  </si>
  <si>
    <t>Naqeui, Waisale</t>
  </si>
  <si>
    <t>Nguyen, Duc Thien (Tomy)</t>
  </si>
  <si>
    <t>Nguyen, Hong Phuc</t>
  </si>
  <si>
    <t>NGUYEN, QUANG MINH</t>
  </si>
  <si>
    <t>Nguyen, Quoc Dai</t>
  </si>
  <si>
    <t>Nguyen, Thach Phu</t>
  </si>
  <si>
    <t>Nguyen, Thi Nga</t>
  </si>
  <si>
    <t>Nguyen, Thi Xinh (Rose)</t>
  </si>
  <si>
    <t>Nguyen, Thi Xuan Thao (Sala)</t>
  </si>
  <si>
    <t>NGUYEN, VAN BAO</t>
  </si>
  <si>
    <t>Nguyen, Van Hung</t>
  </si>
  <si>
    <t>Nguyen, Van Quyen</t>
  </si>
  <si>
    <t>Qi, Ziqin (Katrina)</t>
  </si>
  <si>
    <t>Song, Mian</t>
  </si>
  <si>
    <t>Toohey, Pauline</t>
  </si>
  <si>
    <t>Tran Thi Phuong Thao</t>
  </si>
  <si>
    <t>Tran, Hoang Quan (Tony)</t>
  </si>
  <si>
    <t>Tran, Nu Hoang Thuc (Tiana)</t>
  </si>
  <si>
    <t xml:space="preserve">Tran, Thi Yen Nhi (NHI) </t>
  </si>
  <si>
    <t>Tran, Van Du (John)</t>
  </si>
  <si>
    <t>Tran, Van Hung</t>
  </si>
  <si>
    <t>Trieu, Thi Thuy Linh (Oscar)</t>
  </si>
  <si>
    <t>Trisani, I Gusti Ayu Mitha</t>
  </si>
  <si>
    <t>Vo, Thien Duc (Tommy)</t>
  </si>
  <si>
    <t>Vo, Viet Cong</t>
  </si>
  <si>
    <t>Waqavuna, Markira</t>
  </si>
  <si>
    <t>Wu Shengbin</t>
  </si>
  <si>
    <t xml:space="preserve">Yahya, Abdullah Bin </t>
  </si>
  <si>
    <t>Yang, Han (Marka)</t>
  </si>
  <si>
    <t>A</t>
  </si>
  <si>
    <t>Present</t>
  </si>
  <si>
    <t>Absent</t>
  </si>
  <si>
    <t>Leave</t>
  </si>
  <si>
    <t>L</t>
  </si>
  <si>
    <t>Total Attendance</t>
  </si>
  <si>
    <t>Sick</t>
  </si>
  <si>
    <t>CL</t>
  </si>
  <si>
    <t>Emergency</t>
  </si>
  <si>
    <t>E</t>
  </si>
  <si>
    <t>Kubu, Philomena (Philo) - L3</t>
  </si>
  <si>
    <t>Ranawakana, Mosese (Moji) - L7</t>
  </si>
  <si>
    <t>Elliott, Alex-roy Alan James W Bale (Alex) - L5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</si>
</sst>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
    <numFmt numFmtId="165" formatCode=";;;"/>
    <numFmt numFmtId="166" formatCode="dd\ mmm\,\ yyyy"/>
    <numFmt numFmtId="167" formatCode="General;General;"/>
  </numFmts>
  <fonts count="12" x14ac:knownFonts="1">
    <font>
      <sz val="11"/>
      <color theme="1"/>
      <name val="Calibri"/>
      <family val="2"/>
      <scheme val="minor"/>
    </font>
    <font>
      <sz val="8"/>
      <color theme="1"/>
      <name val="Calibri"/>
      <family val="2"/>
      <scheme val="minor"/>
    </font>
    <font>
      <i/>
      <sz val="11"/>
      <color theme="1"/>
      <name val="Calibri"/>
      <family val="2"/>
      <scheme val="minor"/>
    </font>
    <font>
      <b/>
      <i/>
      <sz val="11"/>
      <color theme="1"/>
      <name val="Calibri"/>
      <family val="2"/>
      <scheme val="minor"/>
    </font>
    <font>
      <b/>
      <i/>
      <sz val="9"/>
      <color theme="1"/>
      <name val="Calibri"/>
      <family val="2"/>
      <scheme val="minor"/>
    </font>
    <font>
      <b/>
      <i/>
      <sz val="12"/>
      <color theme="1"/>
      <name val="Calibri"/>
      <family val="2"/>
      <scheme val="minor"/>
    </font>
    <font>
      <i/>
      <sz val="11"/>
      <name val="Calibri"/>
      <family val="2"/>
      <scheme val="minor"/>
    </font>
    <font>
      <sz val="10"/>
      <color theme="1"/>
      <name val="Calibri"/>
      <family val="2"/>
      <scheme val="minor"/>
    </font>
    <font>
      <b/>
      <i/>
      <sz val="11"/>
      <color theme="4" tint="-0.249977111117893"/>
      <name val="Calibri"/>
      <family val="2"/>
      <scheme val="minor"/>
    </font>
    <font>
      <i/>
      <sz val="9"/>
      <color theme="3" tint="0.39997558519241921"/>
      <name val="Calibri"/>
      <family val="2"/>
      <scheme val="minor"/>
    </font>
    <font>
      <b/>
      <sz val="11"/>
      <color theme="1"/>
      <name val="Calibri"/>
      <family val="2"/>
      <scheme val="minor"/>
    </font>
    <font>
      <b/>
      <sz val="16"/>
      <color theme="0"/>
      <name val="Calibri"/>
      <family val="2"/>
      <scheme val="minor"/>
    </font>
  </fonts>
  <fills count="9">
    <fill>
      <patternFill patternType="none"/>
    </fill>
    <fill>
      <patternFill patternType="gray125"/>
    </fill>
    <fill>
      <patternFill patternType="solid">
        <fgColor theme="2" tint="-9.9978637043366805E-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38">
    <xf numFmtId="0" fontId="0" fillId="0" borderId="0" xfId="0"/>
    <xf numFmtId="0" fontId="0" fillId="0" borderId="1" xfId="0" applyBorder="1"/>
    <xf numFmtId="0" fontId="2" fillId="0" borderId="0" xfId="0" applyFont="1"/>
    <xf numFmtId="0" fontId="3" fillId="2" borderId="1" xfId="0" applyFont="1" applyFill="1" applyBorder="1"/>
    <xf numFmtId="0" fontId="2" fillId="0" borderId="0" xfId="0" applyFont="1" applyAlignment="1">
      <alignment horizontal="center" vertical="center"/>
    </xf>
    <xf numFmtId="14" fontId="0" fillId="0" borderId="0" xfId="0" applyNumberFormat="1"/>
    <xf numFmtId="164" fontId="1" fillId="2" borderId="1" xfId="0" applyNumberFormat="1" applyFont="1" applyFill="1" applyBorder="1" applyAlignment="1">
      <alignment horizontal="center" vertical="center"/>
    </xf>
    <xf numFmtId="15" fontId="0" fillId="0" borderId="0" xfId="0" applyNumberFormat="1"/>
    <xf numFmtId="16" fontId="1" fillId="2" borderId="1" xfId="0" applyNumberFormat="1" applyFont="1" applyFill="1" applyBorder="1" applyAlignment="1">
      <alignment horizontal="center" vertical="center"/>
    </xf>
    <xf numFmtId="0" fontId="5" fillId="4" borderId="1" xfId="0" applyFont="1" applyFill="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165" fontId="6" fillId="0" borderId="0" xfId="0" applyNumberFormat="1" applyFont="1" applyAlignment="1">
      <alignment horizontal="center" vertical="center"/>
    </xf>
    <xf numFmtId="165" fontId="2" fillId="0" borderId="0" xfId="0" applyNumberFormat="1" applyFont="1"/>
    <xf numFmtId="0" fontId="0" fillId="0" borderId="4" xfId="0" applyBorder="1"/>
    <xf numFmtId="0" fontId="8" fillId="6" borderId="4" xfId="0" applyFont="1" applyFill="1" applyBorder="1" applyAlignment="1">
      <alignment horizontal="centerContinuous"/>
    </xf>
    <xf numFmtId="0" fontId="7" fillId="0" borderId="1" xfId="0" applyFont="1" applyBorder="1"/>
    <xf numFmtId="166" fontId="7" fillId="0" borderId="1" xfId="0" applyNumberFormat="1" applyFont="1" applyBorder="1"/>
    <xf numFmtId="0" fontId="0" fillId="7" borderId="1" xfId="0" applyFill="1" applyBorder="1" applyAlignment="1">
      <alignment horizontal="center"/>
    </xf>
    <xf numFmtId="0" fontId="9" fillId="0" borderId="0" xfId="0" applyFont="1" applyAlignment="1">
      <alignment horizontal="left" indent="1"/>
    </xf>
    <xf numFmtId="1" fontId="1" fillId="3" borderId="1" xfId="0" applyNumberFormat="1" applyFont="1" applyFill="1" applyBorder="1" applyAlignment="1">
      <alignment horizontal="center" vertical="center"/>
    </xf>
    <xf numFmtId="0" fontId="0" fillId="7" borderId="1" xfId="0" applyFill="1" applyBorder="1"/>
    <xf numFmtId="0" fontId="0" fillId="5" borderId="1" xfId="0" applyFill="1" applyBorder="1"/>
    <xf numFmtId="167" fontId="0" fillId="5" borderId="1" xfId="0" applyNumberFormat="1" applyFill="1" applyBorder="1" applyAlignment="1">
      <alignment horizontal="center"/>
    </xf>
    <xf numFmtId="14" fontId="7" fillId="0" borderId="1" xfId="0" applyNumberFormat="1" applyFont="1" applyBorder="1"/>
    <xf numFmtId="0" fontId="7" fillId="0" borderId="1" xfId="0" applyFont="1" applyBorder="1" applyAlignment="1">
      <alignment horizontal="center"/>
    </xf>
    <xf numFmtId="0" fontId="10" fillId="3" borderId="1" xfId="0" applyFont="1" applyFill="1" applyBorder="1" applyAlignment="1">
      <alignment horizontal="center"/>
    </xf>
    <xf numFmtId="0" fontId="2" fillId="5" borderId="1" xfId="0" applyFont="1" applyFill="1" applyBorder="1" applyAlignment="1">
      <alignment horizontal="centerContinuous" vertical="center"/>
    </xf>
    <xf numFmtId="0" fontId="2" fillId="5" borderId="7" xfId="0" applyFont="1" applyFill="1" applyBorder="1" applyAlignment="1">
      <alignment horizontal="centerContinuous" vertical="center"/>
    </xf>
    <xf numFmtId="0" fontId="2" fillId="5" borderId="8" xfId="0" applyFont="1" applyFill="1" applyBorder="1" applyAlignment="1">
      <alignment horizontal="centerContinuous" vertical="center"/>
    </xf>
    <xf numFmtId="0" fontId="11" fillId="8" borderId="0" xfId="0" applyFont="1" applyFill="1" applyAlignment="1">
      <alignment horizontal="center" vertical="center"/>
    </xf>
    <xf numFmtId="0" fontId="0" fillId="0" borderId="9" xfId="0" applyBorder="1" applyAlignment="1">
      <alignment vertical="center" wrapText="1"/>
    </xf>
    <xf numFmtId="0" fontId="0" fillId="0" borderId="1" xfId="0" applyBorder="1" applyAlignment="1">
      <alignment horizontal="center"/>
    </xf>
    <xf numFmtId="0" fontId="4" fillId="5" borderId="6"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1" xfId="0" applyFont="1" applyFill="1" applyBorder="1" applyAlignment="1">
      <alignment horizontal="center" vertical="center"/>
    </xf>
    <xf numFmtId="0" fontId="4" fillId="7" borderId="1" xfId="0" applyFont="1" applyFill="1" applyBorder="1" applyAlignment="1">
      <alignment horizontal="center" vertical="center" wrapText="1"/>
    </xf>
    <xf numFmtId="0" fontId="4" fillId="7" borderId="1" xfId="0" applyFont="1" applyFill="1" applyBorder="1" applyAlignment="1">
      <alignment horizontal="center" vertical="center"/>
    </xf>
  </cellXfs>
  <cellStyles count="1">
    <cellStyle name="Normal" xfId="0" builtinId="0"/>
  </cellStyles>
  <dxfs count="23">
    <dxf>
      <fill>
        <patternFill>
          <bgColor rgb="FFFFC000"/>
        </patternFill>
      </fill>
    </dxf>
    <dxf>
      <font>
        <b/>
        <i val="0"/>
        <color theme="0"/>
      </font>
      <fill>
        <patternFill>
          <bgColor rgb="FFC00000"/>
        </patternFill>
      </fill>
    </dxf>
    <dxf>
      <fill>
        <patternFill>
          <bgColor theme="9" tint="-0.24994659260841701"/>
        </patternFill>
      </fill>
    </dxf>
    <dxf>
      <fill>
        <patternFill>
          <bgColor theme="0" tint="-0.14996795556505021"/>
        </patternFill>
      </fill>
      <border>
        <left style="thin">
          <color auto="1"/>
        </left>
        <right style="thin">
          <color auto="1"/>
        </right>
        <top style="thin">
          <color auto="1"/>
        </top>
        <bottom style="thin">
          <color auto="1"/>
        </bottom>
      </border>
    </dxf>
    <dxf>
      <font>
        <b/>
        <i val="0"/>
        <color theme="5"/>
      </font>
    </dxf>
    <dxf>
      <font>
        <color rgb="FFFF0000"/>
      </font>
    </dxf>
    <dxf>
      <fill>
        <patternFill>
          <bgColor rgb="FFFFC000"/>
        </patternFill>
      </fill>
    </dxf>
    <dxf>
      <font>
        <b/>
        <i val="0"/>
        <color theme="0"/>
      </font>
      <fill>
        <patternFill>
          <bgColor rgb="FFC00000"/>
        </patternFill>
      </fill>
    </dxf>
    <dxf>
      <fill>
        <patternFill>
          <bgColor theme="9" tint="-0.24994659260841701"/>
        </patternFill>
      </fill>
    </dxf>
    <dxf>
      <fill>
        <patternFill>
          <bgColor theme="0" tint="-0.14996795556505021"/>
        </patternFill>
      </fill>
      <border>
        <left style="thin">
          <color auto="1"/>
        </left>
        <right style="thin">
          <color auto="1"/>
        </right>
        <top style="thin">
          <color auto="1"/>
        </top>
        <bottom style="thin">
          <color auto="1"/>
        </bottom>
      </border>
    </dxf>
    <dxf>
      <font>
        <b/>
        <i val="0"/>
        <color theme="5"/>
      </font>
    </dxf>
    <dxf>
      <font>
        <color rgb="FFFF0000"/>
      </font>
    </dxf>
    <dxf>
      <fill>
        <patternFill>
          <bgColor rgb="FFFF0000"/>
        </patternFill>
      </fill>
    </dxf>
    <dxf>
      <fill>
        <patternFill>
          <bgColor rgb="FF92D050"/>
        </patternFill>
      </fill>
    </dxf>
    <dxf>
      <font>
        <b/>
        <i val="0"/>
        <color theme="5"/>
      </font>
    </dxf>
    <dxf>
      <font>
        <color rgb="FFFF0000"/>
      </font>
    </dxf>
    <dxf>
      <font>
        <b val="0"/>
        <i val="0"/>
        <strike val="0"/>
        <condense val="0"/>
        <extend val="0"/>
        <outline val="0"/>
        <shadow val="0"/>
        <u val="none"/>
        <vertAlign val="baseline"/>
        <sz val="10"/>
        <color theme="1"/>
        <name val="Calibri"/>
        <scheme val="minor"/>
      </font>
      <numFmt numFmtId="166" formatCode="dd\ mmm\,\ yyyy"/>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alibri"/>
        <scheme val="minor"/>
      </font>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theme="1"/>
        <name val="Calibri"/>
        <scheme val="minor"/>
      </font>
    </dxf>
    <dxf>
      <border outline="0">
        <bottom style="thin">
          <color indexed="64"/>
        </bottom>
      </border>
    </dxf>
    <dxf>
      <font>
        <b/>
        <i/>
        <strike val="0"/>
        <condense val="0"/>
        <extend val="0"/>
        <outline val="0"/>
        <shadow val="0"/>
        <u val="none"/>
        <vertAlign val="baseline"/>
        <sz val="9"/>
        <color theme="1"/>
        <name val="Calibri"/>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349</xdr:col>
      <xdr:colOff>29416</xdr:colOff>
      <xdr:row>2</xdr:row>
      <xdr:rowOff>152401</xdr:rowOff>
    </xdr:from>
    <xdr:to>
      <xdr:col>358</xdr:col>
      <xdr:colOff>218235</xdr:colOff>
      <xdr:row>2</xdr:row>
      <xdr:rowOff>466726</xdr:rowOff>
    </xdr:to>
    <xdr:sp macro="" textlink="Sheet3!G2">
      <xdr:nvSpPr>
        <xdr:cNvPr id="3" name="Rectangle 2">
          <a:extLst>
            <a:ext uri="{FF2B5EF4-FFF2-40B4-BE49-F238E27FC236}">
              <a16:creationId xmlns:a16="http://schemas.microsoft.com/office/drawing/2014/main" id="{00000000-0008-0000-0000-000003000000}"/>
            </a:ext>
          </a:extLst>
        </xdr:cNvPr>
        <xdr:cNvSpPr/>
      </xdr:nvSpPr>
      <xdr:spPr>
        <a:xfrm>
          <a:off x="3982291" y="552451"/>
          <a:ext cx="2417669"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400" b="1" i="1" u="none" strike="noStrike">
              <a:solidFill>
                <a:schemeClr val="tx2">
                  <a:lumMod val="60000"/>
                  <a:lumOff val="40000"/>
                </a:schemeClr>
              </a:solidFill>
              <a:latin typeface="Calibri"/>
            </a:rPr>
            <a:pPr algn="ctr"/>
            <a:t>December 2025</a:t>
          </a:fld>
          <a:endParaRPr lang="en-US" sz="2400" b="1" i="1" u="sng">
            <a:solidFill>
              <a:schemeClr val="tx2">
                <a:lumMod val="60000"/>
                <a:lumOff val="40000"/>
              </a:schemeClr>
            </a:solidFill>
          </a:endParaRPr>
        </a:p>
      </xdr:txBody>
    </xdr:sp>
    <xdr:clientData/>
  </xdr:twoCellAnchor>
  <xdr:twoCellAnchor editAs="absolute">
    <xdr:from>
      <xdr:col>358</xdr:col>
      <xdr:colOff>85725</xdr:colOff>
      <xdr:row>2</xdr:row>
      <xdr:rowOff>100013</xdr:rowOff>
    </xdr:from>
    <xdr:to>
      <xdr:col>360</xdr:col>
      <xdr:colOff>28575</xdr:colOff>
      <xdr:row>3</xdr:row>
      <xdr:rowOff>953</xdr:rowOff>
    </xdr:to>
    <xdr:pic macro="[0]!NextMonth">
      <xdr:nvPicPr>
        <xdr:cNvPr id="7" name="Graphic 6" descr="Play">
          <a:extLst>
            <a:ext uri="{FF2B5EF4-FFF2-40B4-BE49-F238E27FC236}">
              <a16:creationId xmlns:a16="http://schemas.microsoft.com/office/drawing/2014/main" id="{4E016A8C-AB25-497C-8B50-83705B7070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296025" y="500063"/>
          <a:ext cx="419100" cy="419100"/>
        </a:xfrm>
        <a:prstGeom prst="rect">
          <a:avLst/>
        </a:prstGeom>
      </xdr:spPr>
    </xdr:pic>
    <xdr:clientData/>
  </xdr:twoCellAnchor>
  <xdr:twoCellAnchor editAs="absolute">
    <xdr:from>
      <xdr:col>348</xdr:col>
      <xdr:colOff>19050</xdr:colOff>
      <xdr:row>2</xdr:row>
      <xdr:rowOff>100013</xdr:rowOff>
    </xdr:from>
    <xdr:to>
      <xdr:col>349</xdr:col>
      <xdr:colOff>180975</xdr:colOff>
      <xdr:row>3</xdr:row>
      <xdr:rowOff>953</xdr:rowOff>
    </xdr:to>
    <xdr:pic macro="[0]!PreviousMonth">
      <xdr:nvPicPr>
        <xdr:cNvPr id="9" name="Graphic 8" descr="Play">
          <a:extLst>
            <a:ext uri="{FF2B5EF4-FFF2-40B4-BE49-F238E27FC236}">
              <a16:creationId xmlns:a16="http://schemas.microsoft.com/office/drawing/2014/main" id="{831E49F6-402C-4EC9-BA26-23C4CD2B97A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714750" y="500063"/>
          <a:ext cx="419100" cy="4191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349</xdr:col>
      <xdr:colOff>29416</xdr:colOff>
      <xdr:row>2</xdr:row>
      <xdr:rowOff>152401</xdr:rowOff>
    </xdr:from>
    <xdr:to>
      <xdr:col>358</xdr:col>
      <xdr:colOff>218235</xdr:colOff>
      <xdr:row>2</xdr:row>
      <xdr:rowOff>466726</xdr:rowOff>
    </xdr:to>
    <xdr:sp macro="" textlink="Sheet3!G2">
      <xdr:nvSpPr>
        <xdr:cNvPr id="2" name="Rectangle 1">
          <a:extLst>
            <a:ext uri="{FF2B5EF4-FFF2-40B4-BE49-F238E27FC236}">
              <a16:creationId xmlns:a16="http://schemas.microsoft.com/office/drawing/2014/main" id="{219F9104-1E8F-4831-815D-D8D9DA36C5BD}"/>
            </a:ext>
          </a:extLst>
        </xdr:cNvPr>
        <xdr:cNvSpPr/>
      </xdr:nvSpPr>
      <xdr:spPr>
        <a:xfrm>
          <a:off x="3877516" y="552451"/>
          <a:ext cx="2331944"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400" b="1" i="1" u="none" strike="noStrike">
              <a:solidFill>
                <a:schemeClr val="tx2">
                  <a:lumMod val="60000"/>
                  <a:lumOff val="40000"/>
                </a:schemeClr>
              </a:solidFill>
              <a:latin typeface="Calibri"/>
              <a:cs typeface="Calibri"/>
            </a:rPr>
            <a:pPr algn="ctr"/>
            <a:t>December 2025</a:t>
          </a:fld>
          <a:endParaRPr lang="en-US" sz="2400" b="1" i="1" u="sng">
            <a:solidFill>
              <a:schemeClr val="tx2">
                <a:lumMod val="60000"/>
                <a:lumOff val="40000"/>
              </a:schemeClr>
            </a:solidFill>
          </a:endParaRPr>
        </a:p>
      </xdr:txBody>
    </xdr:sp>
    <xdr:clientData/>
  </xdr:twoCellAnchor>
  <xdr:twoCellAnchor editAs="absolute">
    <xdr:from>
      <xdr:col>342</xdr:col>
      <xdr:colOff>28574</xdr:colOff>
      <xdr:row>0</xdr:row>
      <xdr:rowOff>0</xdr:rowOff>
    </xdr:from>
    <xdr:to>
      <xdr:col>358</xdr:col>
      <xdr:colOff>161924</xdr:colOff>
      <xdr:row>1</xdr:row>
      <xdr:rowOff>38100</xdr:rowOff>
    </xdr:to>
    <xdr:sp macro="" textlink="">
      <xdr:nvSpPr>
        <xdr:cNvPr id="3" name="TextBox 2">
          <a:extLst>
            <a:ext uri="{FF2B5EF4-FFF2-40B4-BE49-F238E27FC236}">
              <a16:creationId xmlns:a16="http://schemas.microsoft.com/office/drawing/2014/main" id="{9ACCA6BD-AC93-4FF7-B149-4ECC0FEE7C45}"/>
            </a:ext>
          </a:extLst>
        </xdr:cNvPr>
        <xdr:cNvSpPr txBox="1"/>
      </xdr:nvSpPr>
      <xdr:spPr>
        <a:xfrm>
          <a:off x="2209799" y="0"/>
          <a:ext cx="39433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rgbClr val="FF0000"/>
              </a:solidFill>
            </a:rPr>
            <a:t>&lt;-- ONLY use </a:t>
          </a:r>
          <a:r>
            <a:rPr lang="en-IN" sz="1100" i="1" baseline="0">
              <a:solidFill>
                <a:srgbClr val="FF0000"/>
              </a:solidFill>
            </a:rPr>
            <a:t>to Change the Starting Month (else use the triagle icons)</a:t>
          </a:r>
          <a:endParaRPr lang="en-IN" sz="1100" i="1">
            <a:solidFill>
              <a:srgbClr val="FF0000"/>
            </a:solidFill>
          </a:endParaRPr>
        </a:p>
      </xdr:txBody>
    </xdr:sp>
    <xdr:clientData/>
  </xdr:twoCellAnchor>
  <xdr:twoCellAnchor editAs="absolute">
    <xdr:from>
      <xdr:col>342</xdr:col>
      <xdr:colOff>9525</xdr:colOff>
      <xdr:row>1</xdr:row>
      <xdr:rowOff>0</xdr:rowOff>
    </xdr:from>
    <xdr:to>
      <xdr:col>357</xdr:col>
      <xdr:colOff>209550</xdr:colOff>
      <xdr:row>2</xdr:row>
      <xdr:rowOff>19050</xdr:rowOff>
    </xdr:to>
    <xdr:sp macro="" textlink="">
      <xdr:nvSpPr>
        <xdr:cNvPr id="4" name="TextBox 3">
          <a:extLst>
            <a:ext uri="{FF2B5EF4-FFF2-40B4-BE49-F238E27FC236}">
              <a16:creationId xmlns:a16="http://schemas.microsoft.com/office/drawing/2014/main" id="{6FCD2F99-58C8-4CAF-874C-77CA9B09CD08}"/>
            </a:ext>
          </a:extLst>
        </xdr:cNvPr>
        <xdr:cNvSpPr txBox="1"/>
      </xdr:nvSpPr>
      <xdr:spPr>
        <a:xfrm>
          <a:off x="2190750" y="200025"/>
          <a:ext cx="37719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chemeClr val="tx2">
                  <a:lumMod val="60000"/>
                  <a:lumOff val="40000"/>
                </a:schemeClr>
              </a:solidFill>
            </a:rPr>
            <a:t>&lt;-- Select</a:t>
          </a:r>
          <a:r>
            <a:rPr lang="en-IN" sz="1100" i="1" baseline="0">
              <a:solidFill>
                <a:schemeClr val="tx2">
                  <a:lumMod val="60000"/>
                  <a:lumOff val="40000"/>
                </a:schemeClr>
              </a:solidFill>
            </a:rPr>
            <a:t> Year</a:t>
          </a:r>
          <a:endParaRPr lang="en-IN" sz="1100" i="1">
            <a:solidFill>
              <a:schemeClr val="tx2">
                <a:lumMod val="60000"/>
                <a:lumOff val="40000"/>
              </a:schemeClr>
            </a:solidFill>
          </a:endParaRPr>
        </a:p>
      </xdr:txBody>
    </xdr:sp>
    <xdr:clientData/>
  </xdr:twoCellAnchor>
  <xdr:twoCellAnchor editAs="absolute">
    <xdr:from>
      <xdr:col>358</xdr:col>
      <xdr:colOff>85725</xdr:colOff>
      <xdr:row>2</xdr:row>
      <xdr:rowOff>100013</xdr:rowOff>
    </xdr:from>
    <xdr:to>
      <xdr:col>360</xdr:col>
      <xdr:colOff>28575</xdr:colOff>
      <xdr:row>3</xdr:row>
      <xdr:rowOff>953</xdr:rowOff>
    </xdr:to>
    <xdr:pic macro="[0]!NextMonth">
      <xdr:nvPicPr>
        <xdr:cNvPr id="5" name="Graphic 4" descr="Play">
          <a:extLst>
            <a:ext uri="{FF2B5EF4-FFF2-40B4-BE49-F238E27FC236}">
              <a16:creationId xmlns:a16="http://schemas.microsoft.com/office/drawing/2014/main" id="{3B3BF287-8DF3-4AEF-8089-6025A3000C5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076950" y="500063"/>
          <a:ext cx="419100" cy="424815"/>
        </a:xfrm>
        <a:prstGeom prst="rect">
          <a:avLst/>
        </a:prstGeom>
      </xdr:spPr>
    </xdr:pic>
    <xdr:clientData/>
  </xdr:twoCellAnchor>
  <xdr:twoCellAnchor editAs="absolute">
    <xdr:from>
      <xdr:col>348</xdr:col>
      <xdr:colOff>19050</xdr:colOff>
      <xdr:row>2</xdr:row>
      <xdr:rowOff>100013</xdr:rowOff>
    </xdr:from>
    <xdr:to>
      <xdr:col>349</xdr:col>
      <xdr:colOff>180975</xdr:colOff>
      <xdr:row>3</xdr:row>
      <xdr:rowOff>953</xdr:rowOff>
    </xdr:to>
    <xdr:pic macro="[0]!PreviousMonth">
      <xdr:nvPicPr>
        <xdr:cNvPr id="6" name="Graphic 5" descr="Play">
          <a:extLst>
            <a:ext uri="{FF2B5EF4-FFF2-40B4-BE49-F238E27FC236}">
              <a16:creationId xmlns:a16="http://schemas.microsoft.com/office/drawing/2014/main" id="{56848101-60CE-41BC-8004-01BFE015545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629025" y="500063"/>
          <a:ext cx="400050" cy="4248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349</xdr:col>
      <xdr:colOff>29416</xdr:colOff>
      <xdr:row>2</xdr:row>
      <xdr:rowOff>152401</xdr:rowOff>
    </xdr:from>
    <xdr:to>
      <xdr:col>358</xdr:col>
      <xdr:colOff>218235</xdr:colOff>
      <xdr:row>2</xdr:row>
      <xdr:rowOff>466726</xdr:rowOff>
    </xdr:to>
    <xdr:sp macro="" textlink="Sheet3!G2">
      <xdr:nvSpPr>
        <xdr:cNvPr id="2" name="Rectangle 1">
          <a:extLst>
            <a:ext uri="{FF2B5EF4-FFF2-40B4-BE49-F238E27FC236}">
              <a16:creationId xmlns:a16="http://schemas.microsoft.com/office/drawing/2014/main" id="{7D32D867-6024-414C-A30C-66649D378741}"/>
            </a:ext>
          </a:extLst>
        </xdr:cNvPr>
        <xdr:cNvSpPr/>
      </xdr:nvSpPr>
      <xdr:spPr>
        <a:xfrm>
          <a:off x="3877516" y="552451"/>
          <a:ext cx="2331944" cy="3143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4E15872-7C8C-4EBC-AD95-7C1F4FF55BFC}" type="TxLink">
            <a:rPr lang="en-US" sz="2400" b="1" i="1" u="none" strike="noStrike">
              <a:solidFill>
                <a:schemeClr val="tx2">
                  <a:lumMod val="60000"/>
                  <a:lumOff val="40000"/>
                </a:schemeClr>
              </a:solidFill>
              <a:latin typeface="Calibri"/>
              <a:cs typeface="Calibri"/>
            </a:rPr>
            <a:pPr algn="ctr"/>
            <a:t>December 2025</a:t>
          </a:fld>
          <a:endParaRPr lang="en-US" sz="2400" b="1" i="1" u="sng">
            <a:solidFill>
              <a:schemeClr val="tx2">
                <a:lumMod val="60000"/>
                <a:lumOff val="40000"/>
              </a:schemeClr>
            </a:solidFill>
          </a:endParaRPr>
        </a:p>
      </xdr:txBody>
    </xdr:sp>
    <xdr:clientData/>
  </xdr:twoCellAnchor>
  <xdr:twoCellAnchor editAs="absolute">
    <xdr:from>
      <xdr:col>342</xdr:col>
      <xdr:colOff>28574</xdr:colOff>
      <xdr:row>0</xdr:row>
      <xdr:rowOff>0</xdr:rowOff>
    </xdr:from>
    <xdr:to>
      <xdr:col>358</xdr:col>
      <xdr:colOff>161924</xdr:colOff>
      <xdr:row>1</xdr:row>
      <xdr:rowOff>38100</xdr:rowOff>
    </xdr:to>
    <xdr:sp macro="" textlink="">
      <xdr:nvSpPr>
        <xdr:cNvPr id="3" name="TextBox 2">
          <a:extLst>
            <a:ext uri="{FF2B5EF4-FFF2-40B4-BE49-F238E27FC236}">
              <a16:creationId xmlns:a16="http://schemas.microsoft.com/office/drawing/2014/main" id="{17391D40-64DE-4840-8B1B-6BF77D1F5B70}"/>
            </a:ext>
          </a:extLst>
        </xdr:cNvPr>
        <xdr:cNvSpPr txBox="1"/>
      </xdr:nvSpPr>
      <xdr:spPr>
        <a:xfrm>
          <a:off x="2209799" y="0"/>
          <a:ext cx="394335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rgbClr val="FF0000"/>
              </a:solidFill>
            </a:rPr>
            <a:t>&lt;-- ONLY use </a:t>
          </a:r>
          <a:r>
            <a:rPr lang="en-IN" sz="1100" i="1" baseline="0">
              <a:solidFill>
                <a:srgbClr val="FF0000"/>
              </a:solidFill>
            </a:rPr>
            <a:t>to Change the Starting Month (else use the triagle icons)</a:t>
          </a:r>
          <a:endParaRPr lang="en-IN" sz="1100" i="1">
            <a:solidFill>
              <a:srgbClr val="FF0000"/>
            </a:solidFill>
          </a:endParaRPr>
        </a:p>
      </xdr:txBody>
    </xdr:sp>
    <xdr:clientData/>
  </xdr:twoCellAnchor>
  <xdr:twoCellAnchor editAs="absolute">
    <xdr:from>
      <xdr:col>342</xdr:col>
      <xdr:colOff>9525</xdr:colOff>
      <xdr:row>1</xdr:row>
      <xdr:rowOff>0</xdr:rowOff>
    </xdr:from>
    <xdr:to>
      <xdr:col>357</xdr:col>
      <xdr:colOff>209550</xdr:colOff>
      <xdr:row>2</xdr:row>
      <xdr:rowOff>19050</xdr:rowOff>
    </xdr:to>
    <xdr:sp macro="" textlink="">
      <xdr:nvSpPr>
        <xdr:cNvPr id="4" name="TextBox 3">
          <a:extLst>
            <a:ext uri="{FF2B5EF4-FFF2-40B4-BE49-F238E27FC236}">
              <a16:creationId xmlns:a16="http://schemas.microsoft.com/office/drawing/2014/main" id="{62020F2A-2B53-4340-84B2-1FD07D3876A6}"/>
            </a:ext>
          </a:extLst>
        </xdr:cNvPr>
        <xdr:cNvSpPr txBox="1"/>
      </xdr:nvSpPr>
      <xdr:spPr>
        <a:xfrm>
          <a:off x="2190750" y="200025"/>
          <a:ext cx="37719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i="1">
              <a:solidFill>
                <a:schemeClr val="tx2">
                  <a:lumMod val="60000"/>
                  <a:lumOff val="40000"/>
                </a:schemeClr>
              </a:solidFill>
            </a:rPr>
            <a:t>&lt;-- Select</a:t>
          </a:r>
          <a:r>
            <a:rPr lang="en-IN" sz="1100" i="1" baseline="0">
              <a:solidFill>
                <a:schemeClr val="tx2">
                  <a:lumMod val="60000"/>
                  <a:lumOff val="40000"/>
                </a:schemeClr>
              </a:solidFill>
            </a:rPr>
            <a:t> Year</a:t>
          </a:r>
          <a:endParaRPr lang="en-IN" sz="1100" i="1">
            <a:solidFill>
              <a:schemeClr val="tx2">
                <a:lumMod val="60000"/>
                <a:lumOff val="40000"/>
              </a:schemeClr>
            </a:solidFill>
          </a:endParaRPr>
        </a:p>
      </xdr:txBody>
    </xdr:sp>
    <xdr:clientData/>
  </xdr:twoCellAnchor>
  <xdr:twoCellAnchor editAs="absolute">
    <xdr:from>
      <xdr:col>358</xdr:col>
      <xdr:colOff>85725</xdr:colOff>
      <xdr:row>2</xdr:row>
      <xdr:rowOff>100013</xdr:rowOff>
    </xdr:from>
    <xdr:to>
      <xdr:col>360</xdr:col>
      <xdr:colOff>28575</xdr:colOff>
      <xdr:row>3</xdr:row>
      <xdr:rowOff>953</xdr:rowOff>
    </xdr:to>
    <xdr:pic macro="[0]!NextMonth">
      <xdr:nvPicPr>
        <xdr:cNvPr id="5" name="Graphic 4" descr="Play">
          <a:extLst>
            <a:ext uri="{FF2B5EF4-FFF2-40B4-BE49-F238E27FC236}">
              <a16:creationId xmlns:a16="http://schemas.microsoft.com/office/drawing/2014/main" id="{4F7CD6A1-B2B9-4435-BB91-FB9430F7E7A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076950" y="500063"/>
          <a:ext cx="419100" cy="424815"/>
        </a:xfrm>
        <a:prstGeom prst="rect">
          <a:avLst/>
        </a:prstGeom>
      </xdr:spPr>
    </xdr:pic>
    <xdr:clientData/>
  </xdr:twoCellAnchor>
  <xdr:twoCellAnchor editAs="absolute">
    <xdr:from>
      <xdr:col>348</xdr:col>
      <xdr:colOff>19050</xdr:colOff>
      <xdr:row>2</xdr:row>
      <xdr:rowOff>100013</xdr:rowOff>
    </xdr:from>
    <xdr:to>
      <xdr:col>349</xdr:col>
      <xdr:colOff>180975</xdr:colOff>
      <xdr:row>3</xdr:row>
      <xdr:rowOff>953</xdr:rowOff>
    </xdr:to>
    <xdr:pic macro="[0]!PreviousMonth">
      <xdr:nvPicPr>
        <xdr:cNvPr id="6" name="Graphic 5" descr="Play">
          <a:extLst>
            <a:ext uri="{FF2B5EF4-FFF2-40B4-BE49-F238E27FC236}">
              <a16:creationId xmlns:a16="http://schemas.microsoft.com/office/drawing/2014/main" id="{0E38F667-3453-4A1C-B86F-B268088CCBB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flipH="1">
          <a:off x="3629025" y="500063"/>
          <a:ext cx="400050" cy="42481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umit\Desktop\Excel-Leave-Tracker%202018%20-%2050%20Employe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ve Tracker"/>
      <sheetName val="Holidays"/>
      <sheetName val="FAQs"/>
      <sheetName val="Sheet3"/>
      <sheetName val="Excel-Leave-Tracker 2018 - 50 E"/>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olidayList" displayName="HolidayList" ref="A1:B11" totalsRowShown="0" headerRowDxfId="22" dataDxfId="20" headerRowBorderDxfId="21" tableBorderDxfId="19" totalsRowBorderDxfId="18">
  <autoFilter ref="A1:B11" xr:uid="{00000000-0009-0000-0100-000001000000}"/>
  <tableColumns count="2">
    <tableColumn id="1" xr3:uid="{00000000-0010-0000-0000-000001000000}" name="Holiday" dataDxfId="17"/>
    <tableColumn id="2" xr3:uid="{00000000-0010-0000-0000-000002000000}" name="Date" dataDxfId="16"/>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aveTracker"/>
  <dimension ref="A1:ACG50"/>
  <sheetViews>
    <sheetView showGridLines="0" tabSelected="1" showWhiteSpace="0" zoomScaleNormal="100" zoomScaleSheetLayoutView="100" workbookViewId="0">
      <pane xSplit="1" ySplit="7" topLeftCell="ME8" activePane="bottomRight" state="frozen"/>
      <selection pane="topRight" activeCell="B1" sqref="B1"/>
      <selection pane="bottomLeft" activeCell="A8" sqref="A8"/>
      <selection pane="bottomRight" activeCell="NC13" sqref="NC13"/>
    </sheetView>
  </sheetViews>
  <sheetFormatPr defaultRowHeight="15" x14ac:dyDescent="0.25"/>
  <cols>
    <col min="1" max="1" width="32.7109375" bestFit="1" customWidth="1"/>
    <col min="2" max="94" width="3.5703125" hidden="1" customWidth="1"/>
    <col min="95" max="95" width="9.28515625" hidden="1" customWidth="1"/>
    <col min="96" max="342" width="3.5703125" hidden="1" customWidth="1"/>
    <col min="343" max="373" width="3.5703125" customWidth="1"/>
    <col min="374" max="374" width="3.5703125" hidden="1" customWidth="1"/>
    <col min="375" max="375" width="10.28515625" customWidth="1"/>
    <col min="376" max="385" width="3.5703125" customWidth="1"/>
    <col min="386" max="386" width="3" customWidth="1"/>
    <col min="387" max="387" width="14.42578125" bestFit="1" customWidth="1"/>
    <col min="388" max="388" width="10.140625" bestFit="1" customWidth="1"/>
  </cols>
  <sheetData>
    <row r="1" spans="1:761" ht="15.75" x14ac:dyDescent="0.25">
      <c r="A1" s="9">
        <v>1</v>
      </c>
      <c r="B1" s="19"/>
    </row>
    <row r="2" spans="1:761" ht="15.75" x14ac:dyDescent="0.25">
      <c r="A2" s="9">
        <v>2025</v>
      </c>
      <c r="B2" s="19"/>
    </row>
    <row r="3" spans="1:761" ht="41.25" customHeight="1" x14ac:dyDescent="0.25">
      <c r="A3" s="12">
        <v>12</v>
      </c>
      <c r="B3" s="13" t="b">
        <f>AND(NOT(ISNUMBER(MATCH(DATE($A$2,INT((COLUMN()-1)/31.001)+$A$1,ROUNDUP(MOD(COLUMN()-1,31.001),0)),HolidayList[Date],0))),(VLOOKUP(VLOOKUP(WEEKDAY(DATE($A$2,INT((COLUMN()-1)/31.001)+$A$1,ROUNDUP(MOD(COLUMN()-1,31.001),0)),2),Sheet3!$D$1:$E$7,2,0),$NW$21:$NX$35,2,0)="Yes"))</f>
        <v>1</v>
      </c>
      <c r="C3" s="13" t="b">
        <f>AND(NOT(ISNUMBER(MATCH(DATE($A$2,INT((COLUMN()-1)/31.001)+$A$1,ROUNDUP(MOD(COLUMN()-1,31.001),0)),HolidayList[Date],0))),(VLOOKUP(VLOOKUP(WEEKDAY(DATE($A$2,INT((COLUMN()-1)/31.001)+$A$1,ROUNDUP(MOD(COLUMN()-1,31.001),0)),2),Sheet3!$D$1:$E$7,2,0),$NW$21:$NX$35,2,0)="Yes"))</f>
        <v>1</v>
      </c>
      <c r="D3" s="13" t="b">
        <f>AND(NOT(ISNUMBER(MATCH(DATE($A$2,INT((COLUMN()-1)/31.001)+$A$1,ROUNDUP(MOD(COLUMN()-1,31.001),0)),HolidayList[Date],0))),(VLOOKUP(VLOOKUP(WEEKDAY(DATE($A$2,INT((COLUMN()-1)/31.001)+$A$1,ROUNDUP(MOD(COLUMN()-1,31.001),0)),2),Sheet3!$D$1:$E$7,2,0),$NW$21:$NX$35,2,0)="Yes"))</f>
        <v>1</v>
      </c>
      <c r="E3" s="13" t="b">
        <f>AND(NOT(ISNUMBER(MATCH(DATE($A$2,INT((COLUMN()-1)/31.001)+$A$1,ROUNDUP(MOD(COLUMN()-1,31.001),0)),HolidayList[Date],0))),(VLOOKUP(VLOOKUP(WEEKDAY(DATE($A$2,INT((COLUMN()-1)/31.001)+$A$1,ROUNDUP(MOD(COLUMN()-1,31.001),0)),2),Sheet3!$D$1:$E$7,2,0),$NW$21:$NX$35,2,0)="Yes"))</f>
        <v>0</v>
      </c>
      <c r="F3" s="13" t="b">
        <f>AND(NOT(ISNUMBER(MATCH(DATE($A$2,INT((COLUMN()-1)/31.001)+$A$1,ROUNDUP(MOD(COLUMN()-1,31.001),0)),HolidayList[Date],0))),(VLOOKUP(VLOOKUP(WEEKDAY(DATE($A$2,INT((COLUMN()-1)/31.001)+$A$1,ROUNDUP(MOD(COLUMN()-1,31.001),0)),2),Sheet3!$D$1:$E$7,2,0),$NW$21:$NX$35,2,0)="Yes"))</f>
        <v>0</v>
      </c>
      <c r="G3" s="13" t="b">
        <f>AND(NOT(ISNUMBER(MATCH(DATE($A$2,INT((COLUMN()-1)/31.001)+$A$1,ROUNDUP(MOD(COLUMN()-1,31.001),0)),HolidayList[Date],0))),(VLOOKUP(VLOOKUP(WEEKDAY(DATE($A$2,INT((COLUMN()-1)/31.001)+$A$1,ROUNDUP(MOD(COLUMN()-1,31.001),0)),2),Sheet3!$D$1:$E$7,2,0),$NW$21:$NX$35,2,0)="Yes"))</f>
        <v>1</v>
      </c>
      <c r="H3" s="13" t="b">
        <f>AND(NOT(ISNUMBER(MATCH(DATE($A$2,INT((COLUMN()-1)/31.001)+$A$1,ROUNDUP(MOD(COLUMN()-1,31.001),0)),HolidayList[Date],0))),(VLOOKUP(VLOOKUP(WEEKDAY(DATE($A$2,INT((COLUMN()-1)/31.001)+$A$1,ROUNDUP(MOD(COLUMN()-1,31.001),0)),2),Sheet3!$D$1:$E$7,2,0),$NW$21:$NX$35,2,0)="Yes"))</f>
        <v>1</v>
      </c>
      <c r="I3" s="13" t="b">
        <f>AND(NOT(ISNUMBER(MATCH(DATE($A$2,INT((COLUMN()-1)/31.001)+$A$1,ROUNDUP(MOD(COLUMN()-1,31.001),0)),HolidayList[Date],0))),(VLOOKUP(VLOOKUP(WEEKDAY(DATE($A$2,INT((COLUMN()-1)/31.001)+$A$1,ROUNDUP(MOD(COLUMN()-1,31.001),0)),2),Sheet3!$D$1:$E$7,2,0),$NW$21:$NX$35,2,0)="Yes"))</f>
        <v>1</v>
      </c>
      <c r="J3" s="13" t="b">
        <f>AND(NOT(ISNUMBER(MATCH(DATE($A$2,INT((COLUMN()-1)/31.001)+$A$1,ROUNDUP(MOD(COLUMN()-1,31.001),0)),HolidayList[Date],0))),(VLOOKUP(VLOOKUP(WEEKDAY(DATE($A$2,INT((COLUMN()-1)/31.001)+$A$1,ROUNDUP(MOD(COLUMN()-1,31.001),0)),2),Sheet3!$D$1:$E$7,2,0),$NW$21:$NX$35,2,0)="Yes"))</f>
        <v>1</v>
      </c>
      <c r="K3" s="13" t="b">
        <f>AND(NOT(ISNUMBER(MATCH(DATE($A$2,INT((COLUMN()-1)/31.001)+$A$1,ROUNDUP(MOD(COLUMN()-1,31.001),0)),HolidayList[Date],0))),(VLOOKUP(VLOOKUP(WEEKDAY(DATE($A$2,INT((COLUMN()-1)/31.001)+$A$1,ROUNDUP(MOD(COLUMN()-1,31.001),0)),2),Sheet3!$D$1:$E$7,2,0),$NW$21:$NX$35,2,0)="Yes"))</f>
        <v>1</v>
      </c>
      <c r="L3" s="13" t="b">
        <f>AND(NOT(ISNUMBER(MATCH(DATE($A$2,INT((COLUMN()-1)/31.001)+$A$1,ROUNDUP(MOD(COLUMN()-1,31.001),0)),HolidayList[Date],0))),(VLOOKUP(VLOOKUP(WEEKDAY(DATE($A$2,INT((COLUMN()-1)/31.001)+$A$1,ROUNDUP(MOD(COLUMN()-1,31.001),0)),2),Sheet3!$D$1:$E$7,2,0),$NW$21:$NX$35,2,0)="Yes"))</f>
        <v>0</v>
      </c>
      <c r="M3" s="13" t="b">
        <f>AND(NOT(ISNUMBER(MATCH(DATE($A$2,INT((COLUMN()-1)/31.001)+$A$1,ROUNDUP(MOD(COLUMN()-1,31.001),0)),HolidayList[Date],0))),(VLOOKUP(VLOOKUP(WEEKDAY(DATE($A$2,INT((COLUMN()-1)/31.001)+$A$1,ROUNDUP(MOD(COLUMN()-1,31.001),0)),2),Sheet3!$D$1:$E$7,2,0),$NW$21:$NX$35,2,0)="Yes"))</f>
        <v>0</v>
      </c>
      <c r="N3" s="13" t="b">
        <f>AND(NOT(ISNUMBER(MATCH(DATE($A$2,INT((COLUMN()-1)/31.001)+$A$1,ROUNDUP(MOD(COLUMN()-1,31.001),0)),HolidayList[Date],0))),(VLOOKUP(VLOOKUP(WEEKDAY(DATE($A$2,INT((COLUMN()-1)/31.001)+$A$1,ROUNDUP(MOD(COLUMN()-1,31.001),0)),2),Sheet3!$D$1:$E$7,2,0),$NW$21:$NX$35,2,0)="Yes"))</f>
        <v>1</v>
      </c>
      <c r="O3" s="13" t="b">
        <f>AND(NOT(ISNUMBER(MATCH(DATE($A$2,INT((COLUMN()-1)/31.001)+$A$1,ROUNDUP(MOD(COLUMN()-1,31.001),0)),HolidayList[Date],0))),(VLOOKUP(VLOOKUP(WEEKDAY(DATE($A$2,INT((COLUMN()-1)/31.001)+$A$1,ROUNDUP(MOD(COLUMN()-1,31.001),0)),2),Sheet3!$D$1:$E$7,2,0),$NW$21:$NX$35,2,0)="Yes"))</f>
        <v>1</v>
      </c>
      <c r="P3" s="13" t="b">
        <f>AND(NOT(ISNUMBER(MATCH(DATE($A$2,INT((COLUMN()-1)/31.001)+$A$1,ROUNDUP(MOD(COLUMN()-1,31.001),0)),HolidayList[Date],0))),(VLOOKUP(VLOOKUP(WEEKDAY(DATE($A$2,INT((COLUMN()-1)/31.001)+$A$1,ROUNDUP(MOD(COLUMN()-1,31.001),0)),2),Sheet3!$D$1:$E$7,2,0),$NW$21:$NX$35,2,0)="Yes"))</f>
        <v>1</v>
      </c>
      <c r="Q3" s="13" t="b">
        <f>AND(NOT(ISNUMBER(MATCH(DATE($A$2,INT((COLUMN()-1)/31.001)+$A$1,ROUNDUP(MOD(COLUMN()-1,31.001),0)),HolidayList[Date],0))),(VLOOKUP(VLOOKUP(WEEKDAY(DATE($A$2,INT((COLUMN()-1)/31.001)+$A$1,ROUNDUP(MOD(COLUMN()-1,31.001),0)),2),Sheet3!$D$1:$E$7,2,0),$NW$21:$NX$35,2,0)="Yes"))</f>
        <v>1</v>
      </c>
      <c r="R3" s="13" t="b">
        <f>AND(NOT(ISNUMBER(MATCH(DATE($A$2,INT((COLUMN()-1)/31.001)+$A$1,ROUNDUP(MOD(COLUMN()-1,31.001),0)),HolidayList[Date],0))),(VLOOKUP(VLOOKUP(WEEKDAY(DATE($A$2,INT((COLUMN()-1)/31.001)+$A$1,ROUNDUP(MOD(COLUMN()-1,31.001),0)),2),Sheet3!$D$1:$E$7,2,0),$NW$21:$NX$35,2,0)="Yes"))</f>
        <v>1</v>
      </c>
      <c r="S3" s="13" t="b">
        <f>AND(NOT(ISNUMBER(MATCH(DATE($A$2,INT((COLUMN()-1)/31.001)+$A$1,ROUNDUP(MOD(COLUMN()-1,31.001),0)),HolidayList[Date],0))),(VLOOKUP(VLOOKUP(WEEKDAY(DATE($A$2,INT((COLUMN()-1)/31.001)+$A$1,ROUNDUP(MOD(COLUMN()-1,31.001),0)),2),Sheet3!$D$1:$E$7,2,0),$NW$21:$NX$35,2,0)="Yes"))</f>
        <v>0</v>
      </c>
      <c r="T3" s="13" t="b">
        <f>AND(NOT(ISNUMBER(MATCH(DATE($A$2,INT((COLUMN()-1)/31.001)+$A$1,ROUNDUP(MOD(COLUMN()-1,31.001),0)),HolidayList[Date],0))),(VLOOKUP(VLOOKUP(WEEKDAY(DATE($A$2,INT((COLUMN()-1)/31.001)+$A$1,ROUNDUP(MOD(COLUMN()-1,31.001),0)),2),Sheet3!$D$1:$E$7,2,0),$NW$21:$NX$35,2,0)="Yes"))</f>
        <v>0</v>
      </c>
      <c r="U3" s="13" t="b">
        <f>AND(NOT(ISNUMBER(MATCH(DATE($A$2,INT((COLUMN()-1)/31.001)+$A$1,ROUNDUP(MOD(COLUMN()-1,31.001),0)),HolidayList[Date],0))),(VLOOKUP(VLOOKUP(WEEKDAY(DATE($A$2,INT((COLUMN()-1)/31.001)+$A$1,ROUNDUP(MOD(COLUMN()-1,31.001),0)),2),Sheet3!$D$1:$E$7,2,0),$NW$21:$NX$35,2,0)="Yes"))</f>
        <v>1</v>
      </c>
      <c r="V3" s="13" t="b">
        <f>AND(NOT(ISNUMBER(MATCH(DATE($A$2,INT((COLUMN()-1)/31.001)+$A$1,ROUNDUP(MOD(COLUMN()-1,31.001),0)),HolidayList[Date],0))),(VLOOKUP(VLOOKUP(WEEKDAY(DATE($A$2,INT((COLUMN()-1)/31.001)+$A$1,ROUNDUP(MOD(COLUMN()-1,31.001),0)),2),Sheet3!$D$1:$E$7,2,0),$NW$21:$NX$35,2,0)="Yes"))</f>
        <v>1</v>
      </c>
      <c r="W3" s="13" t="b">
        <f>AND(NOT(ISNUMBER(MATCH(DATE($A$2,INT((COLUMN()-1)/31.001)+$A$1,ROUNDUP(MOD(COLUMN()-1,31.001),0)),HolidayList[Date],0))),(VLOOKUP(VLOOKUP(WEEKDAY(DATE($A$2,INT((COLUMN()-1)/31.001)+$A$1,ROUNDUP(MOD(COLUMN()-1,31.001),0)),2),Sheet3!$D$1:$E$7,2,0),$NW$21:$NX$35,2,0)="Yes"))</f>
        <v>1</v>
      </c>
      <c r="X3" s="13" t="b">
        <f>AND(NOT(ISNUMBER(MATCH(DATE($A$2,INT((COLUMN()-1)/31.001)+$A$1,ROUNDUP(MOD(COLUMN()-1,31.001),0)),HolidayList[Date],0))),(VLOOKUP(VLOOKUP(WEEKDAY(DATE($A$2,INT((COLUMN()-1)/31.001)+$A$1,ROUNDUP(MOD(COLUMN()-1,31.001),0)),2),Sheet3!$D$1:$E$7,2,0),$NW$21:$NX$35,2,0)="Yes"))</f>
        <v>1</v>
      </c>
      <c r="Y3" s="13" t="b">
        <f>AND(NOT(ISNUMBER(MATCH(DATE($A$2,INT((COLUMN()-1)/31.001)+$A$1,ROUNDUP(MOD(COLUMN()-1,31.001),0)),HolidayList[Date],0))),(VLOOKUP(VLOOKUP(WEEKDAY(DATE($A$2,INT((COLUMN()-1)/31.001)+$A$1,ROUNDUP(MOD(COLUMN()-1,31.001),0)),2),Sheet3!$D$1:$E$7,2,0),$NW$21:$NX$35,2,0)="Yes"))</f>
        <v>1</v>
      </c>
      <c r="Z3" s="13" t="b">
        <f>AND(NOT(ISNUMBER(MATCH(DATE($A$2,INT((COLUMN()-1)/31.001)+$A$1,ROUNDUP(MOD(COLUMN()-1,31.001),0)),HolidayList[Date],0))),(VLOOKUP(VLOOKUP(WEEKDAY(DATE($A$2,INT((COLUMN()-1)/31.001)+$A$1,ROUNDUP(MOD(COLUMN()-1,31.001),0)),2),Sheet3!$D$1:$E$7,2,0),$NW$21:$NX$35,2,0)="Yes"))</f>
        <v>0</v>
      </c>
      <c r="AA3" s="13" t="b">
        <f>AND(NOT(ISNUMBER(MATCH(DATE($A$2,INT((COLUMN()-1)/31.001)+$A$1,ROUNDUP(MOD(COLUMN()-1,31.001),0)),HolidayList[Date],0))),(VLOOKUP(VLOOKUP(WEEKDAY(DATE($A$2,INT((COLUMN()-1)/31.001)+$A$1,ROUNDUP(MOD(COLUMN()-1,31.001),0)),2),Sheet3!$D$1:$E$7,2,0),$NW$21:$NX$35,2,0)="Yes"))</f>
        <v>0</v>
      </c>
      <c r="AB3" s="13" t="b">
        <f>AND(NOT(ISNUMBER(MATCH(DATE($A$2,INT((COLUMN()-1)/31.001)+$A$1,ROUNDUP(MOD(COLUMN()-1,31.001),0)),HolidayList[Date],0))),(VLOOKUP(VLOOKUP(WEEKDAY(DATE($A$2,INT((COLUMN()-1)/31.001)+$A$1,ROUNDUP(MOD(COLUMN()-1,31.001),0)),2),Sheet3!$D$1:$E$7,2,0),$NW$21:$NX$35,2,0)="Yes"))</f>
        <v>1</v>
      </c>
      <c r="AC3" s="13" t="b">
        <f>AND(NOT(ISNUMBER(MATCH(DATE($A$2,INT((COLUMN()-1)/31.001)+$A$1,ROUNDUP(MOD(COLUMN()-1,31.001),0)),HolidayList[Date],0))),(VLOOKUP(VLOOKUP(WEEKDAY(DATE($A$2,INT((COLUMN()-1)/31.001)+$A$1,ROUNDUP(MOD(COLUMN()-1,31.001),0)),2),Sheet3!$D$1:$E$7,2,0),$NW$21:$NX$35,2,0)="Yes"))</f>
        <v>1</v>
      </c>
      <c r="AD3" s="13" t="b">
        <f>AND(NOT(ISNUMBER(MATCH(DATE($A$2,INT((COLUMN()-1)/31.001)+$A$1,ROUNDUP(MOD(COLUMN()-1,31.001),0)),HolidayList[Date],0))),(VLOOKUP(VLOOKUP(WEEKDAY(DATE($A$2,INT((COLUMN()-1)/31.001)+$A$1,ROUNDUP(MOD(COLUMN()-1,31.001),0)),2),Sheet3!$D$1:$E$7,2,0),$NW$21:$NX$35,2,0)="Yes"))</f>
        <v>1</v>
      </c>
      <c r="AE3" s="13" t="b">
        <f>AND(NOT(ISNUMBER(MATCH(DATE($A$2,INT((COLUMN()-1)/31.001)+$A$1,ROUNDUP(MOD(COLUMN()-1,31.001),0)),HolidayList[Date],0))),(VLOOKUP(VLOOKUP(WEEKDAY(DATE($A$2,INT((COLUMN()-1)/31.001)+$A$1,ROUNDUP(MOD(COLUMN()-1,31.001),0)),2),Sheet3!$D$1:$E$7,2,0),$NW$21:$NX$35,2,0)="Yes"))</f>
        <v>1</v>
      </c>
      <c r="AF3" s="13" t="b">
        <f>AND(NOT(ISNUMBER(MATCH(DATE($A$2,INT((COLUMN()-1)/31.001)+$A$1,ROUNDUP(MOD(COLUMN()-1,31.001),0)),HolidayList[Date],0))),(VLOOKUP(VLOOKUP(WEEKDAY(DATE($A$2,INT((COLUMN()-1)/31.001)+$A$1,ROUNDUP(MOD(COLUMN()-1,31.001),0)),2),Sheet3!$D$1:$E$7,2,0),$NW$21:$NX$35,2,0)="Yes"))</f>
        <v>1</v>
      </c>
      <c r="AG3" s="13" t="b">
        <f>AND(NOT(ISNUMBER(MATCH(DATE($A$2,INT((COLUMN()-1)/31.001)+$A$1,ROUNDUP(MOD(COLUMN()-1,31.001),0)),HolidayList[Date],0))),(VLOOKUP(VLOOKUP(WEEKDAY(DATE($A$2,INT((COLUMN()-1)/31.001)+$A$1,ROUNDUP(MOD(COLUMN()-1,31.001),0)),2),Sheet3!$D$1:$E$7,2,0),$NW$21:$NX$35,2,0)="Yes"))</f>
        <v>0</v>
      </c>
      <c r="AH3" s="13" t="b">
        <f>AND(NOT(ISNUMBER(MATCH(DATE($A$2,INT((COLUMN()-1)/31.001)+$A$1,ROUNDUP(MOD(COLUMN()-1,31.001),0)),HolidayList[Date],0))),(VLOOKUP(VLOOKUP(WEEKDAY(DATE($A$2,INT((COLUMN()-1)/31.001)+$A$1,ROUNDUP(MOD(COLUMN()-1,31.001),0)),2),Sheet3!$D$1:$E$7,2,0),$NW$21:$NX$35,2,0)="Yes"))</f>
        <v>0</v>
      </c>
      <c r="AI3" s="13" t="b">
        <f>AND(NOT(ISNUMBER(MATCH(DATE($A$2,INT((COLUMN()-1)/31.001)+$A$1,ROUNDUP(MOD(COLUMN()-1,31.001),0)),HolidayList[Date],0))),(VLOOKUP(VLOOKUP(WEEKDAY(DATE($A$2,INT((COLUMN()-1)/31.001)+$A$1,ROUNDUP(MOD(COLUMN()-1,31.001),0)),2),Sheet3!$D$1:$E$7,2,0),$NW$21:$NX$35,2,0)="Yes"))</f>
        <v>1</v>
      </c>
      <c r="AJ3" s="13" t="b">
        <f>AND(NOT(ISNUMBER(MATCH(DATE($A$2,INT((COLUMN()-1)/31.001)+$A$1,ROUNDUP(MOD(COLUMN()-1,31.001),0)),HolidayList[Date],0))),(VLOOKUP(VLOOKUP(WEEKDAY(DATE($A$2,INT((COLUMN()-1)/31.001)+$A$1,ROUNDUP(MOD(COLUMN()-1,31.001),0)),2),Sheet3!$D$1:$E$7,2,0),$NW$21:$NX$35,2,0)="Yes"))</f>
        <v>1</v>
      </c>
      <c r="AK3" s="13" t="b">
        <f>AND(NOT(ISNUMBER(MATCH(DATE($A$2,INT((COLUMN()-1)/31.001)+$A$1,ROUNDUP(MOD(COLUMN()-1,31.001),0)),HolidayList[Date],0))),(VLOOKUP(VLOOKUP(WEEKDAY(DATE($A$2,INT((COLUMN()-1)/31.001)+$A$1,ROUNDUP(MOD(COLUMN()-1,31.001),0)),2),Sheet3!$D$1:$E$7,2,0),$NW$21:$NX$35,2,0)="Yes"))</f>
        <v>1</v>
      </c>
      <c r="AL3" s="13" t="b">
        <f>AND(NOT(ISNUMBER(MATCH(DATE($A$2,INT((COLUMN()-1)/31.001)+$A$1,ROUNDUP(MOD(COLUMN()-1,31.001),0)),HolidayList[Date],0))),(VLOOKUP(VLOOKUP(WEEKDAY(DATE($A$2,INT((COLUMN()-1)/31.001)+$A$1,ROUNDUP(MOD(COLUMN()-1,31.001),0)),2),Sheet3!$D$1:$E$7,2,0),$NW$21:$NX$35,2,0)="Yes"))</f>
        <v>1</v>
      </c>
      <c r="AM3" s="13" t="b">
        <f>AND(NOT(ISNUMBER(MATCH(DATE($A$2,INT((COLUMN()-1)/31.001)+$A$1,ROUNDUP(MOD(COLUMN()-1,31.001),0)),HolidayList[Date],0))),(VLOOKUP(VLOOKUP(WEEKDAY(DATE($A$2,INT((COLUMN()-1)/31.001)+$A$1,ROUNDUP(MOD(COLUMN()-1,31.001),0)),2),Sheet3!$D$1:$E$7,2,0),$NW$21:$NX$35,2,0)="Yes"))</f>
        <v>1</v>
      </c>
      <c r="AN3" s="13" t="b">
        <f>AND(NOT(ISNUMBER(MATCH(DATE($A$2,INT((COLUMN()-1)/31.001)+$A$1,ROUNDUP(MOD(COLUMN()-1,31.001),0)),HolidayList[Date],0))),(VLOOKUP(VLOOKUP(WEEKDAY(DATE($A$2,INT((COLUMN()-1)/31.001)+$A$1,ROUNDUP(MOD(COLUMN()-1,31.001),0)),2),Sheet3!$D$1:$E$7,2,0),$NW$21:$NX$35,2,0)="Yes"))</f>
        <v>0</v>
      </c>
      <c r="AO3" s="13" t="b">
        <f>AND(NOT(ISNUMBER(MATCH(DATE($A$2,INT((COLUMN()-1)/31.001)+$A$1,ROUNDUP(MOD(COLUMN()-1,31.001),0)),HolidayList[Date],0))),(VLOOKUP(VLOOKUP(WEEKDAY(DATE($A$2,INT((COLUMN()-1)/31.001)+$A$1,ROUNDUP(MOD(COLUMN()-1,31.001),0)),2),Sheet3!$D$1:$E$7,2,0),$NW$21:$NX$35,2,0)="Yes"))</f>
        <v>0</v>
      </c>
      <c r="AP3" s="13" t="b">
        <f>AND(NOT(ISNUMBER(MATCH(DATE($A$2,INT((COLUMN()-1)/31.001)+$A$1,ROUNDUP(MOD(COLUMN()-1,31.001),0)),HolidayList[Date],0))),(VLOOKUP(VLOOKUP(WEEKDAY(DATE($A$2,INT((COLUMN()-1)/31.001)+$A$1,ROUNDUP(MOD(COLUMN()-1,31.001),0)),2),Sheet3!$D$1:$E$7,2,0),$NW$21:$NX$35,2,0)="Yes"))</f>
        <v>1</v>
      </c>
      <c r="AQ3" s="13" t="b">
        <f>AND(NOT(ISNUMBER(MATCH(DATE($A$2,INT((COLUMN()-1)/31.001)+$A$1,ROUNDUP(MOD(COLUMN()-1,31.001),0)),HolidayList[Date],0))),(VLOOKUP(VLOOKUP(WEEKDAY(DATE($A$2,INT((COLUMN()-1)/31.001)+$A$1,ROUNDUP(MOD(COLUMN()-1,31.001),0)),2),Sheet3!$D$1:$E$7,2,0),$NW$21:$NX$35,2,0)="Yes"))</f>
        <v>1</v>
      </c>
      <c r="AR3" s="13" t="b">
        <f>AND(NOT(ISNUMBER(MATCH(DATE($A$2,INT((COLUMN()-1)/31.001)+$A$1,ROUNDUP(MOD(COLUMN()-1,31.001),0)),HolidayList[Date],0))),(VLOOKUP(VLOOKUP(WEEKDAY(DATE($A$2,INT((COLUMN()-1)/31.001)+$A$1,ROUNDUP(MOD(COLUMN()-1,31.001),0)),2),Sheet3!$D$1:$E$7,2,0),$NW$21:$NX$35,2,0)="Yes"))</f>
        <v>1</v>
      </c>
      <c r="AS3" s="13" t="b">
        <f>AND(NOT(ISNUMBER(MATCH(DATE($A$2,INT((COLUMN()-1)/31.001)+$A$1,ROUNDUP(MOD(COLUMN()-1,31.001),0)),HolidayList[Date],0))),(VLOOKUP(VLOOKUP(WEEKDAY(DATE($A$2,INT((COLUMN()-1)/31.001)+$A$1,ROUNDUP(MOD(COLUMN()-1,31.001),0)),2),Sheet3!$D$1:$E$7,2,0),$NW$21:$NX$35,2,0)="Yes"))</f>
        <v>1</v>
      </c>
      <c r="AT3" s="13" t="b">
        <f>AND(NOT(ISNUMBER(MATCH(DATE($A$2,INT((COLUMN()-1)/31.001)+$A$1,ROUNDUP(MOD(COLUMN()-1,31.001),0)),HolidayList[Date],0))),(VLOOKUP(VLOOKUP(WEEKDAY(DATE($A$2,INT((COLUMN()-1)/31.001)+$A$1,ROUNDUP(MOD(COLUMN()-1,31.001),0)),2),Sheet3!$D$1:$E$7,2,0),$NW$21:$NX$35,2,0)="Yes"))</f>
        <v>1</v>
      </c>
      <c r="AU3" s="13" t="b">
        <f>AND(NOT(ISNUMBER(MATCH(DATE($A$2,INT((COLUMN()-1)/31.001)+$A$1,ROUNDUP(MOD(COLUMN()-1,31.001),0)),HolidayList[Date],0))),(VLOOKUP(VLOOKUP(WEEKDAY(DATE($A$2,INT((COLUMN()-1)/31.001)+$A$1,ROUNDUP(MOD(COLUMN()-1,31.001),0)),2),Sheet3!$D$1:$E$7,2,0),$NW$21:$NX$35,2,0)="Yes"))</f>
        <v>0</v>
      </c>
      <c r="AV3" s="13" t="b">
        <f>AND(NOT(ISNUMBER(MATCH(DATE($A$2,INT((COLUMN()-1)/31.001)+$A$1,ROUNDUP(MOD(COLUMN()-1,31.001),0)),HolidayList[Date],0))),(VLOOKUP(VLOOKUP(WEEKDAY(DATE($A$2,INT((COLUMN()-1)/31.001)+$A$1,ROUNDUP(MOD(COLUMN()-1,31.001),0)),2),Sheet3!$D$1:$E$7,2,0),$NW$21:$NX$35,2,0)="Yes"))</f>
        <v>0</v>
      </c>
      <c r="AW3" s="13" t="b">
        <f>AND(NOT(ISNUMBER(MATCH(DATE($A$2,INT((COLUMN()-1)/31.001)+$A$1,ROUNDUP(MOD(COLUMN()-1,31.001),0)),HolidayList[Date],0))),(VLOOKUP(VLOOKUP(WEEKDAY(DATE($A$2,INT((COLUMN()-1)/31.001)+$A$1,ROUNDUP(MOD(COLUMN()-1,31.001),0)),2),Sheet3!$D$1:$E$7,2,0),$NW$21:$NX$35,2,0)="Yes"))</f>
        <v>1</v>
      </c>
      <c r="AX3" s="13" t="b">
        <f>AND(NOT(ISNUMBER(MATCH(DATE($A$2,INT((COLUMN()-1)/31.001)+$A$1,ROUNDUP(MOD(COLUMN()-1,31.001),0)),HolidayList[Date],0))),(VLOOKUP(VLOOKUP(WEEKDAY(DATE($A$2,INT((COLUMN()-1)/31.001)+$A$1,ROUNDUP(MOD(COLUMN()-1,31.001),0)),2),Sheet3!$D$1:$E$7,2,0),$NW$21:$NX$35,2,0)="Yes"))</f>
        <v>1</v>
      </c>
      <c r="AY3" s="13" t="b">
        <f>AND(NOT(ISNUMBER(MATCH(DATE($A$2,INT((COLUMN()-1)/31.001)+$A$1,ROUNDUP(MOD(COLUMN()-1,31.001),0)),HolidayList[Date],0))),(VLOOKUP(VLOOKUP(WEEKDAY(DATE($A$2,INT((COLUMN()-1)/31.001)+$A$1,ROUNDUP(MOD(COLUMN()-1,31.001),0)),2),Sheet3!$D$1:$E$7,2,0),$NW$21:$NX$35,2,0)="Yes"))</f>
        <v>1</v>
      </c>
      <c r="AZ3" s="13" t="b">
        <f>AND(NOT(ISNUMBER(MATCH(DATE($A$2,INT((COLUMN()-1)/31.001)+$A$1,ROUNDUP(MOD(COLUMN()-1,31.001),0)),HolidayList[Date],0))),(VLOOKUP(VLOOKUP(WEEKDAY(DATE($A$2,INT((COLUMN()-1)/31.001)+$A$1,ROUNDUP(MOD(COLUMN()-1,31.001),0)),2),Sheet3!$D$1:$E$7,2,0),$NW$21:$NX$35,2,0)="Yes"))</f>
        <v>1</v>
      </c>
      <c r="BA3" s="13" t="b">
        <f>AND(NOT(ISNUMBER(MATCH(DATE($A$2,INT((COLUMN()-1)/31.001)+$A$1,ROUNDUP(MOD(COLUMN()-1,31.001),0)),HolidayList[Date],0))),(VLOOKUP(VLOOKUP(WEEKDAY(DATE($A$2,INT((COLUMN()-1)/31.001)+$A$1,ROUNDUP(MOD(COLUMN()-1,31.001),0)),2),Sheet3!$D$1:$E$7,2,0),$NW$21:$NX$35,2,0)="Yes"))</f>
        <v>1</v>
      </c>
      <c r="BB3" s="13" t="b">
        <f>AND(NOT(ISNUMBER(MATCH(DATE($A$2,INT((COLUMN()-1)/31.001)+$A$1,ROUNDUP(MOD(COLUMN()-1,31.001),0)),HolidayList[Date],0))),(VLOOKUP(VLOOKUP(WEEKDAY(DATE($A$2,INT((COLUMN()-1)/31.001)+$A$1,ROUNDUP(MOD(COLUMN()-1,31.001),0)),2),Sheet3!$D$1:$E$7,2,0),$NW$21:$NX$35,2,0)="Yes"))</f>
        <v>0</v>
      </c>
      <c r="BC3" s="13" t="b">
        <f>AND(NOT(ISNUMBER(MATCH(DATE($A$2,INT((COLUMN()-1)/31.001)+$A$1,ROUNDUP(MOD(COLUMN()-1,31.001),0)),HolidayList[Date],0))),(VLOOKUP(VLOOKUP(WEEKDAY(DATE($A$2,INT((COLUMN()-1)/31.001)+$A$1,ROUNDUP(MOD(COLUMN()-1,31.001),0)),2),Sheet3!$D$1:$E$7,2,0),$NW$21:$NX$35,2,0)="Yes"))</f>
        <v>0</v>
      </c>
      <c r="BD3" s="13" t="b">
        <f>AND(NOT(ISNUMBER(MATCH(DATE($A$2,INT((COLUMN()-1)/31.001)+$A$1,ROUNDUP(MOD(COLUMN()-1,31.001),0)),HolidayList[Date],0))),(VLOOKUP(VLOOKUP(WEEKDAY(DATE($A$2,INT((COLUMN()-1)/31.001)+$A$1,ROUNDUP(MOD(COLUMN()-1,31.001),0)),2),Sheet3!$D$1:$E$7,2,0),$NW$21:$NX$35,2,0)="Yes"))</f>
        <v>1</v>
      </c>
      <c r="BE3" s="13" t="b">
        <f>AND(NOT(ISNUMBER(MATCH(DATE($A$2,INT((COLUMN()-1)/31.001)+$A$1,ROUNDUP(MOD(COLUMN()-1,31.001),0)),HolidayList[Date],0))),(VLOOKUP(VLOOKUP(WEEKDAY(DATE($A$2,INT((COLUMN()-1)/31.001)+$A$1,ROUNDUP(MOD(COLUMN()-1,31.001),0)),2),Sheet3!$D$1:$E$7,2,0),$NW$21:$NX$35,2,0)="Yes"))</f>
        <v>1</v>
      </c>
      <c r="BF3" s="13" t="b">
        <f>AND(NOT(ISNUMBER(MATCH(DATE($A$2,INT((COLUMN()-1)/31.001)+$A$1,ROUNDUP(MOD(COLUMN()-1,31.001),0)),HolidayList[Date],0))),(VLOOKUP(VLOOKUP(WEEKDAY(DATE($A$2,INT((COLUMN()-1)/31.001)+$A$1,ROUNDUP(MOD(COLUMN()-1,31.001),0)),2),Sheet3!$D$1:$E$7,2,0),$NW$21:$NX$35,2,0)="Yes"))</f>
        <v>1</v>
      </c>
      <c r="BG3" s="13" t="b">
        <f>AND(NOT(ISNUMBER(MATCH(DATE($A$2,INT((COLUMN()-1)/31.001)+$A$1,ROUNDUP(MOD(COLUMN()-1,31.001),0)),HolidayList[Date],0))),(VLOOKUP(VLOOKUP(WEEKDAY(DATE($A$2,INT((COLUMN()-1)/31.001)+$A$1,ROUNDUP(MOD(COLUMN()-1,31.001),0)),2),Sheet3!$D$1:$E$7,2,0),$NW$21:$NX$35,2,0)="Yes"))</f>
        <v>1</v>
      </c>
      <c r="BH3" s="13" t="b">
        <f>AND(NOT(ISNUMBER(MATCH(DATE($A$2,INT((COLUMN()-1)/31.001)+$A$1,ROUNDUP(MOD(COLUMN()-1,31.001),0)),HolidayList[Date],0))),(VLOOKUP(VLOOKUP(WEEKDAY(DATE($A$2,INT((COLUMN()-1)/31.001)+$A$1,ROUNDUP(MOD(COLUMN()-1,31.001),0)),2),Sheet3!$D$1:$E$7,2,0),$NW$21:$NX$35,2,0)="Yes"))</f>
        <v>1</v>
      </c>
      <c r="BI3" s="13" t="b">
        <f>AND(NOT(ISNUMBER(MATCH(DATE($A$2,INT((COLUMN()-1)/31.001)+$A$1,ROUNDUP(MOD(COLUMN()-1,31.001),0)),HolidayList[Date],0))),(VLOOKUP(VLOOKUP(WEEKDAY(DATE($A$2,INT((COLUMN()-1)/31.001)+$A$1,ROUNDUP(MOD(COLUMN()-1,31.001),0)),2),Sheet3!$D$1:$E$7,2,0),$NW$21:$NX$35,2,0)="Yes"))</f>
        <v>0</v>
      </c>
      <c r="BJ3" s="13" t="b">
        <f>AND(NOT(ISNUMBER(MATCH(DATE($A$2,INT((COLUMN()-1)/31.001)+$A$1,ROUNDUP(MOD(COLUMN()-1,31.001),0)),HolidayList[Date],0))),(VLOOKUP(VLOOKUP(WEEKDAY(DATE($A$2,INT((COLUMN()-1)/31.001)+$A$1,ROUNDUP(MOD(COLUMN()-1,31.001),0)),2),Sheet3!$D$1:$E$7,2,0),$NW$21:$NX$35,2,0)="Yes"))</f>
        <v>0</v>
      </c>
      <c r="BK3" s="13" t="b">
        <f>AND(NOT(ISNUMBER(MATCH(DATE($A$2,INT((COLUMN()-1)/31.001)+$A$1,ROUNDUP(MOD(COLUMN()-1,31.001),0)),HolidayList[Date],0))),(VLOOKUP(VLOOKUP(WEEKDAY(DATE($A$2,INT((COLUMN()-1)/31.001)+$A$1,ROUNDUP(MOD(COLUMN()-1,31.001),0)),2),Sheet3!$D$1:$E$7,2,0),$NW$21:$NX$35,2,0)="Yes"))</f>
        <v>1</v>
      </c>
      <c r="BL3" s="13" t="b">
        <f>AND(NOT(ISNUMBER(MATCH(DATE($A$2,INT((COLUMN()-1)/31.001)+$A$1,ROUNDUP(MOD(COLUMN()-1,31.001),0)),HolidayList[Date],0))),(VLOOKUP(VLOOKUP(WEEKDAY(DATE($A$2,INT((COLUMN()-1)/31.001)+$A$1,ROUNDUP(MOD(COLUMN()-1,31.001),0)),2),Sheet3!$D$1:$E$7,2,0),$NW$21:$NX$35,2,0)="Yes"))</f>
        <v>0</v>
      </c>
      <c r="BM3" s="13" t="b">
        <f>AND(NOT(ISNUMBER(MATCH(DATE($A$2,INT((COLUMN()-1)/31.001)+$A$1,ROUNDUP(MOD(COLUMN()-1,31.001),0)),HolidayList[Date],0))),(VLOOKUP(VLOOKUP(WEEKDAY(DATE($A$2,INT((COLUMN()-1)/31.001)+$A$1,ROUNDUP(MOD(COLUMN()-1,31.001),0)),2),Sheet3!$D$1:$E$7,2,0),$NW$21:$NX$35,2,0)="Yes"))</f>
        <v>0</v>
      </c>
      <c r="BN3" s="13" t="b">
        <f>AND(NOT(ISNUMBER(MATCH(DATE($A$2,INT((COLUMN()-1)/31.001)+$A$1,ROUNDUP(MOD(COLUMN()-1,31.001),0)),HolidayList[Date],0))),(VLOOKUP(VLOOKUP(WEEKDAY(DATE($A$2,INT((COLUMN()-1)/31.001)+$A$1,ROUNDUP(MOD(COLUMN()-1,31.001),0)),2),Sheet3!$D$1:$E$7,2,0),$NW$21:$NX$35,2,0)="Yes"))</f>
        <v>1</v>
      </c>
      <c r="BO3" s="13" t="b">
        <f>AND(NOT(ISNUMBER(MATCH(DATE($A$2,INT((COLUMN()-1)/31.001)+$A$1,ROUNDUP(MOD(COLUMN()-1,31.001),0)),HolidayList[Date],0))),(VLOOKUP(VLOOKUP(WEEKDAY(DATE($A$2,INT((COLUMN()-1)/31.001)+$A$1,ROUNDUP(MOD(COLUMN()-1,31.001),0)),2),Sheet3!$D$1:$E$7,2,0),$NW$21:$NX$35,2,0)="Yes"))</f>
        <v>1</v>
      </c>
      <c r="BP3" s="13" t="b">
        <f>AND(NOT(ISNUMBER(MATCH(DATE($A$2,INT((COLUMN()-1)/31.001)+$A$1,ROUNDUP(MOD(COLUMN()-1,31.001),0)),HolidayList[Date],0))),(VLOOKUP(VLOOKUP(WEEKDAY(DATE($A$2,INT((COLUMN()-1)/31.001)+$A$1,ROUNDUP(MOD(COLUMN()-1,31.001),0)),2),Sheet3!$D$1:$E$7,2,0),$NW$21:$NX$35,2,0)="Yes"))</f>
        <v>1</v>
      </c>
      <c r="BQ3" s="13" t="b">
        <f>AND(NOT(ISNUMBER(MATCH(DATE($A$2,INT((COLUMN()-1)/31.001)+$A$1,ROUNDUP(MOD(COLUMN()-1,31.001),0)),HolidayList[Date],0))),(VLOOKUP(VLOOKUP(WEEKDAY(DATE($A$2,INT((COLUMN()-1)/31.001)+$A$1,ROUNDUP(MOD(COLUMN()-1,31.001),0)),2),Sheet3!$D$1:$E$7,2,0),$NW$21:$NX$35,2,0)="Yes"))</f>
        <v>1</v>
      </c>
      <c r="BR3" s="13" t="b">
        <f>AND(NOT(ISNUMBER(MATCH(DATE($A$2,INT((COLUMN()-1)/31.001)+$A$1,ROUNDUP(MOD(COLUMN()-1,31.001),0)),HolidayList[Date],0))),(VLOOKUP(VLOOKUP(WEEKDAY(DATE($A$2,INT((COLUMN()-1)/31.001)+$A$1,ROUNDUP(MOD(COLUMN()-1,31.001),0)),2),Sheet3!$D$1:$E$7,2,0),$NW$21:$NX$35,2,0)="Yes"))</f>
        <v>1</v>
      </c>
      <c r="BS3" s="13" t="b">
        <f>AND(NOT(ISNUMBER(MATCH(DATE($A$2,INT((COLUMN()-1)/31.001)+$A$1,ROUNDUP(MOD(COLUMN()-1,31.001),0)),HolidayList[Date],0))),(VLOOKUP(VLOOKUP(WEEKDAY(DATE($A$2,INT((COLUMN()-1)/31.001)+$A$1,ROUNDUP(MOD(COLUMN()-1,31.001),0)),2),Sheet3!$D$1:$E$7,2,0),$NW$21:$NX$35,2,0)="Yes"))</f>
        <v>0</v>
      </c>
      <c r="BT3" s="13" t="b">
        <f>AND(NOT(ISNUMBER(MATCH(DATE($A$2,INT((COLUMN()-1)/31.001)+$A$1,ROUNDUP(MOD(COLUMN()-1,31.001),0)),HolidayList[Date],0))),(VLOOKUP(VLOOKUP(WEEKDAY(DATE($A$2,INT((COLUMN()-1)/31.001)+$A$1,ROUNDUP(MOD(COLUMN()-1,31.001),0)),2),Sheet3!$D$1:$E$7,2,0),$NW$21:$NX$35,2,0)="Yes"))</f>
        <v>0</v>
      </c>
      <c r="BU3" s="13" t="b">
        <f>AND(NOT(ISNUMBER(MATCH(DATE($A$2,INT((COLUMN()-1)/31.001)+$A$1,ROUNDUP(MOD(COLUMN()-1,31.001),0)),HolidayList[Date],0))),(VLOOKUP(VLOOKUP(WEEKDAY(DATE($A$2,INT((COLUMN()-1)/31.001)+$A$1,ROUNDUP(MOD(COLUMN()-1,31.001),0)),2),Sheet3!$D$1:$E$7,2,0),$NW$21:$NX$35,2,0)="Yes"))</f>
        <v>1</v>
      </c>
      <c r="BV3" s="13" t="b">
        <f>AND(NOT(ISNUMBER(MATCH(DATE($A$2,INT((COLUMN()-1)/31.001)+$A$1,ROUNDUP(MOD(COLUMN()-1,31.001),0)),HolidayList[Date],0))),(VLOOKUP(VLOOKUP(WEEKDAY(DATE($A$2,INT((COLUMN()-1)/31.001)+$A$1,ROUNDUP(MOD(COLUMN()-1,31.001),0)),2),Sheet3!$D$1:$E$7,2,0),$NW$21:$NX$35,2,0)="Yes"))</f>
        <v>1</v>
      </c>
      <c r="BW3" s="13" t="b">
        <f>AND(NOT(ISNUMBER(MATCH(DATE($A$2,INT((COLUMN()-1)/31.001)+$A$1,ROUNDUP(MOD(COLUMN()-1,31.001),0)),HolidayList[Date],0))),(VLOOKUP(VLOOKUP(WEEKDAY(DATE($A$2,INT((COLUMN()-1)/31.001)+$A$1,ROUNDUP(MOD(COLUMN()-1,31.001),0)),2),Sheet3!$D$1:$E$7,2,0),$NW$21:$NX$35,2,0)="Yes"))</f>
        <v>1</v>
      </c>
      <c r="BX3" s="13" t="b">
        <f>AND(NOT(ISNUMBER(MATCH(DATE($A$2,INT((COLUMN()-1)/31.001)+$A$1,ROUNDUP(MOD(COLUMN()-1,31.001),0)),HolidayList[Date],0))),(VLOOKUP(VLOOKUP(WEEKDAY(DATE($A$2,INT((COLUMN()-1)/31.001)+$A$1,ROUNDUP(MOD(COLUMN()-1,31.001),0)),2),Sheet3!$D$1:$E$7,2,0),$NW$21:$NX$35,2,0)="Yes"))</f>
        <v>1</v>
      </c>
      <c r="BY3" s="13" t="b">
        <f>AND(NOT(ISNUMBER(MATCH(DATE($A$2,INT((COLUMN()-1)/31.001)+$A$1,ROUNDUP(MOD(COLUMN()-1,31.001),0)),HolidayList[Date],0))),(VLOOKUP(VLOOKUP(WEEKDAY(DATE($A$2,INT((COLUMN()-1)/31.001)+$A$1,ROUNDUP(MOD(COLUMN()-1,31.001),0)),2),Sheet3!$D$1:$E$7,2,0),$NW$21:$NX$35,2,0)="Yes"))</f>
        <v>1</v>
      </c>
      <c r="BZ3" s="13" t="b">
        <f>AND(NOT(ISNUMBER(MATCH(DATE($A$2,INT((COLUMN()-1)/31.001)+$A$1,ROUNDUP(MOD(COLUMN()-1,31.001),0)),HolidayList[Date],0))),(VLOOKUP(VLOOKUP(WEEKDAY(DATE($A$2,INT((COLUMN()-1)/31.001)+$A$1,ROUNDUP(MOD(COLUMN()-1,31.001),0)),2),Sheet3!$D$1:$E$7,2,0),$NW$21:$NX$35,2,0)="Yes"))</f>
        <v>0</v>
      </c>
      <c r="CA3" s="13" t="b">
        <f>AND(NOT(ISNUMBER(MATCH(DATE($A$2,INT((COLUMN()-1)/31.001)+$A$1,ROUNDUP(MOD(COLUMN()-1,31.001),0)),HolidayList[Date],0))),(VLOOKUP(VLOOKUP(WEEKDAY(DATE($A$2,INT((COLUMN()-1)/31.001)+$A$1,ROUNDUP(MOD(COLUMN()-1,31.001),0)),2),Sheet3!$D$1:$E$7,2,0),$NW$21:$NX$35,2,0)="Yes"))</f>
        <v>0</v>
      </c>
      <c r="CB3" s="13" t="b">
        <f>AND(NOT(ISNUMBER(MATCH(DATE($A$2,INT((COLUMN()-1)/31.001)+$A$1,ROUNDUP(MOD(COLUMN()-1,31.001),0)),HolidayList[Date],0))),(VLOOKUP(VLOOKUP(WEEKDAY(DATE($A$2,INT((COLUMN()-1)/31.001)+$A$1,ROUNDUP(MOD(COLUMN()-1,31.001),0)),2),Sheet3!$D$1:$E$7,2,0),$NW$21:$NX$35,2,0)="Yes"))</f>
        <v>1</v>
      </c>
      <c r="CC3" s="13" t="b">
        <f>AND(NOT(ISNUMBER(MATCH(DATE($A$2,INT((COLUMN()-1)/31.001)+$A$1,ROUNDUP(MOD(COLUMN()-1,31.001),0)),HolidayList[Date],0))),(VLOOKUP(VLOOKUP(WEEKDAY(DATE($A$2,INT((COLUMN()-1)/31.001)+$A$1,ROUNDUP(MOD(COLUMN()-1,31.001),0)),2),Sheet3!$D$1:$E$7,2,0),$NW$21:$NX$35,2,0)="Yes"))</f>
        <v>1</v>
      </c>
      <c r="CD3" s="13" t="b">
        <f>AND(NOT(ISNUMBER(MATCH(DATE($A$2,INT((COLUMN()-1)/31.001)+$A$1,ROUNDUP(MOD(COLUMN()-1,31.001),0)),HolidayList[Date],0))),(VLOOKUP(VLOOKUP(WEEKDAY(DATE($A$2,INT((COLUMN()-1)/31.001)+$A$1,ROUNDUP(MOD(COLUMN()-1,31.001),0)),2),Sheet3!$D$1:$E$7,2,0),$NW$21:$NX$35,2,0)="Yes"))</f>
        <v>1</v>
      </c>
      <c r="CE3" s="13" t="b">
        <f>AND(NOT(ISNUMBER(MATCH(DATE($A$2,INT((COLUMN()-1)/31.001)+$A$1,ROUNDUP(MOD(COLUMN()-1,31.001),0)),HolidayList[Date],0))),(VLOOKUP(VLOOKUP(WEEKDAY(DATE($A$2,INT((COLUMN()-1)/31.001)+$A$1,ROUNDUP(MOD(COLUMN()-1,31.001),0)),2),Sheet3!$D$1:$E$7,2,0),$NW$21:$NX$35,2,0)="Yes"))</f>
        <v>1</v>
      </c>
      <c r="CF3" s="13" t="b">
        <f>AND(NOT(ISNUMBER(MATCH(DATE($A$2,INT((COLUMN()-1)/31.001)+$A$1,ROUNDUP(MOD(COLUMN()-1,31.001),0)),HolidayList[Date],0))),(VLOOKUP(VLOOKUP(WEEKDAY(DATE($A$2,INT((COLUMN()-1)/31.001)+$A$1,ROUNDUP(MOD(COLUMN()-1,31.001),0)),2),Sheet3!$D$1:$E$7,2,0),$NW$21:$NX$35,2,0)="Yes"))</f>
        <v>1</v>
      </c>
      <c r="CG3" s="13" t="b">
        <f>AND(NOT(ISNUMBER(MATCH(DATE($A$2,INT((COLUMN()-1)/31.001)+$A$1,ROUNDUP(MOD(COLUMN()-1,31.001),0)),HolidayList[Date],0))),(VLOOKUP(VLOOKUP(WEEKDAY(DATE($A$2,INT((COLUMN()-1)/31.001)+$A$1,ROUNDUP(MOD(COLUMN()-1,31.001),0)),2),Sheet3!$D$1:$E$7,2,0),$NW$21:$NX$35,2,0)="Yes"))</f>
        <v>0</v>
      </c>
      <c r="CH3" s="13" t="b">
        <f>AND(NOT(ISNUMBER(MATCH(DATE($A$2,INT((COLUMN()-1)/31.001)+$A$1,ROUNDUP(MOD(COLUMN()-1,31.001),0)),HolidayList[Date],0))),(VLOOKUP(VLOOKUP(WEEKDAY(DATE($A$2,INT((COLUMN()-1)/31.001)+$A$1,ROUNDUP(MOD(COLUMN()-1,31.001),0)),2),Sheet3!$D$1:$E$7,2,0),$NW$21:$NX$35,2,0)="Yes"))</f>
        <v>0</v>
      </c>
      <c r="CI3" s="13" t="b">
        <f>AND(NOT(ISNUMBER(MATCH(DATE($A$2,INT((COLUMN()-1)/31.001)+$A$1,ROUNDUP(MOD(COLUMN()-1,31.001),0)),HolidayList[Date],0))),(VLOOKUP(VLOOKUP(WEEKDAY(DATE($A$2,INT((COLUMN()-1)/31.001)+$A$1,ROUNDUP(MOD(COLUMN()-1,31.001),0)),2),Sheet3!$D$1:$E$7,2,0),$NW$21:$NX$35,2,0)="Yes"))</f>
        <v>1</v>
      </c>
      <c r="CJ3" s="13" t="b">
        <f>AND(NOT(ISNUMBER(MATCH(DATE($A$2,INT((COLUMN()-1)/31.001)+$A$1,ROUNDUP(MOD(COLUMN()-1,31.001),0)),HolidayList[Date],0))),(VLOOKUP(VLOOKUP(WEEKDAY(DATE($A$2,INT((COLUMN()-1)/31.001)+$A$1,ROUNDUP(MOD(COLUMN()-1,31.001),0)),2),Sheet3!$D$1:$E$7,2,0),$NW$21:$NX$35,2,0)="Yes"))</f>
        <v>1</v>
      </c>
      <c r="CK3" s="13" t="b">
        <f>AND(NOT(ISNUMBER(MATCH(DATE($A$2,INT((COLUMN()-1)/31.001)+$A$1,ROUNDUP(MOD(COLUMN()-1,31.001),0)),HolidayList[Date],0))),(VLOOKUP(VLOOKUP(WEEKDAY(DATE($A$2,INT((COLUMN()-1)/31.001)+$A$1,ROUNDUP(MOD(COLUMN()-1,31.001),0)),2),Sheet3!$D$1:$E$7,2,0),$NW$21:$NX$35,2,0)="Yes"))</f>
        <v>1</v>
      </c>
      <c r="CL3" s="13" t="b">
        <f>AND(NOT(ISNUMBER(MATCH(DATE($A$2,INT((COLUMN()-1)/31.001)+$A$1,ROUNDUP(MOD(COLUMN()-1,31.001),0)),HolidayList[Date],0))),(VLOOKUP(VLOOKUP(WEEKDAY(DATE($A$2,INT((COLUMN()-1)/31.001)+$A$1,ROUNDUP(MOD(COLUMN()-1,31.001),0)),2),Sheet3!$D$1:$E$7,2,0),$NW$21:$NX$35,2,0)="Yes"))</f>
        <v>1</v>
      </c>
      <c r="CM3" s="13" t="b">
        <f>AND(NOT(ISNUMBER(MATCH(DATE($A$2,INT((COLUMN()-1)/31.001)+$A$1,ROUNDUP(MOD(COLUMN()-1,31.001),0)),HolidayList[Date],0))),(VLOOKUP(VLOOKUP(WEEKDAY(DATE($A$2,INT((COLUMN()-1)/31.001)+$A$1,ROUNDUP(MOD(COLUMN()-1,31.001),0)),2),Sheet3!$D$1:$E$7,2,0),$NW$21:$NX$35,2,0)="Yes"))</f>
        <v>1</v>
      </c>
      <c r="CN3" s="13" t="b">
        <f>AND(NOT(ISNUMBER(MATCH(DATE($A$2,INT((COLUMN()-1)/31.001)+$A$1,ROUNDUP(MOD(COLUMN()-1,31.001),0)),HolidayList[Date],0))),(VLOOKUP(VLOOKUP(WEEKDAY(DATE($A$2,INT((COLUMN()-1)/31.001)+$A$1,ROUNDUP(MOD(COLUMN()-1,31.001),0)),2),Sheet3!$D$1:$E$7,2,0),$NW$21:$NX$35,2,0)="Yes"))</f>
        <v>0</v>
      </c>
      <c r="CO3" s="13" t="b">
        <f>AND(NOT(ISNUMBER(MATCH(DATE($A$2,INT((COLUMN()-1)/31.001)+$A$1,ROUNDUP(MOD(COLUMN()-1,31.001),0)),HolidayList[Date],0))),(VLOOKUP(VLOOKUP(WEEKDAY(DATE($A$2,INT((COLUMN()-1)/31.001)+$A$1,ROUNDUP(MOD(COLUMN()-1,31.001),0)),2),Sheet3!$D$1:$E$7,2,0),$NW$21:$NX$35,2,0)="Yes"))</f>
        <v>0</v>
      </c>
      <c r="CP3" s="13" t="b">
        <f>AND(NOT(ISNUMBER(MATCH(DATE($A$2,INT((COLUMN()-1)/31.001)+$A$1,ROUNDUP(MOD(COLUMN()-1,31.001),0)),HolidayList[Date],0))),(VLOOKUP(VLOOKUP(WEEKDAY(DATE($A$2,INT((COLUMN()-1)/31.001)+$A$1,ROUNDUP(MOD(COLUMN()-1,31.001),0)),2),Sheet3!$D$1:$E$7,2,0),$NW$21:$NX$35,2,0)="Yes"))</f>
        <v>1</v>
      </c>
      <c r="CQ3" s="13"/>
      <c r="CR3" s="13" t="b">
        <f>AND(NOT(ISNUMBER(MATCH(DATE($A$2,INT((COLUMN()-1)/31.001)+$A$1,ROUNDUP(MOD(COLUMN()-1,31.001),0)),HolidayList[Date],0))),(VLOOKUP(VLOOKUP(WEEKDAY(DATE($A$2,INT((COLUMN()-1)/31.001)+$A$1,ROUNDUP(MOD(COLUMN()-1,31.001),0)),2),Sheet3!$D$1:$E$7,2,0),$NW$21:$NX$35,2,0)="Yes"))</f>
        <v>1</v>
      </c>
      <c r="CS3" s="13" t="b">
        <f>AND(NOT(ISNUMBER(MATCH(DATE($A$2,INT((COLUMN()-1)/31.001)+$A$1,ROUNDUP(MOD(COLUMN()-1,31.001),0)),HolidayList[Date],0))),(VLOOKUP(VLOOKUP(WEEKDAY(DATE($A$2,INT((COLUMN()-1)/31.001)+$A$1,ROUNDUP(MOD(COLUMN()-1,31.001),0)),2),Sheet3!$D$1:$E$7,2,0),$NW$21:$NX$35,2,0)="Yes"))</f>
        <v>1</v>
      </c>
      <c r="CT3" s="13" t="b">
        <f>AND(NOT(ISNUMBER(MATCH(DATE($A$2,INT((COLUMN()-1)/31.001)+$A$1,ROUNDUP(MOD(COLUMN()-1,31.001),0)),HolidayList[Date],0))),(VLOOKUP(VLOOKUP(WEEKDAY(DATE($A$2,INT((COLUMN()-1)/31.001)+$A$1,ROUNDUP(MOD(COLUMN()-1,31.001),0)),2),Sheet3!$D$1:$E$7,2,0),$NW$21:$NX$35,2,0)="Yes"))</f>
        <v>1</v>
      </c>
      <c r="CU3" s="13" t="b">
        <f>AND(NOT(ISNUMBER(MATCH(DATE($A$2,INT((COLUMN()-1)/31.001)+$A$1,ROUNDUP(MOD(COLUMN()-1,31.001),0)),HolidayList[Date],0))),(VLOOKUP(VLOOKUP(WEEKDAY(DATE($A$2,INT((COLUMN()-1)/31.001)+$A$1,ROUNDUP(MOD(COLUMN()-1,31.001),0)),2),Sheet3!$D$1:$E$7,2,0),$NW$21:$NX$35,2,0)="Yes"))</f>
        <v>0</v>
      </c>
      <c r="CV3" s="13" t="b">
        <f>AND(NOT(ISNUMBER(MATCH(DATE($A$2,INT((COLUMN()-1)/31.001)+$A$1,ROUNDUP(MOD(COLUMN()-1,31.001),0)),HolidayList[Date],0))),(VLOOKUP(VLOOKUP(WEEKDAY(DATE($A$2,INT((COLUMN()-1)/31.001)+$A$1,ROUNDUP(MOD(COLUMN()-1,31.001),0)),2),Sheet3!$D$1:$E$7,2,0),$NW$21:$NX$35,2,0)="Yes"))</f>
        <v>0</v>
      </c>
      <c r="CW3" s="13" t="b">
        <f>AND(NOT(ISNUMBER(MATCH(DATE($A$2,INT((COLUMN()-1)/31.001)+$A$1,ROUNDUP(MOD(COLUMN()-1,31.001),0)),HolidayList[Date],0))),(VLOOKUP(VLOOKUP(WEEKDAY(DATE($A$2,INT((COLUMN()-1)/31.001)+$A$1,ROUNDUP(MOD(COLUMN()-1,31.001),0)),2),Sheet3!$D$1:$E$7,2,0),$NW$21:$NX$35,2,0)="Yes"))</f>
        <v>1</v>
      </c>
      <c r="CX3" s="13" t="b">
        <f>AND(NOT(ISNUMBER(MATCH(DATE($A$2,INT((COLUMN()-1)/31.001)+$A$1,ROUNDUP(MOD(COLUMN()-1,31.001),0)),HolidayList[Date],0))),(VLOOKUP(VLOOKUP(WEEKDAY(DATE($A$2,INT((COLUMN()-1)/31.001)+$A$1,ROUNDUP(MOD(COLUMN()-1,31.001),0)),2),Sheet3!$D$1:$E$7,2,0),$NW$21:$NX$35,2,0)="Yes"))</f>
        <v>1</v>
      </c>
      <c r="CY3" s="13" t="b">
        <f>AND(NOT(ISNUMBER(MATCH(DATE($A$2,INT((COLUMN()-1)/31.001)+$A$1,ROUNDUP(MOD(COLUMN()-1,31.001),0)),HolidayList[Date],0))),(VLOOKUP(VLOOKUP(WEEKDAY(DATE($A$2,INT((COLUMN()-1)/31.001)+$A$1,ROUNDUP(MOD(COLUMN()-1,31.001),0)),2),Sheet3!$D$1:$E$7,2,0),$NW$21:$NX$35,2,0)="Yes"))</f>
        <v>1</v>
      </c>
      <c r="CZ3" s="13" t="b">
        <f>AND(NOT(ISNUMBER(MATCH(DATE($A$2,INT((COLUMN()-1)/31.001)+$A$1,ROUNDUP(MOD(COLUMN()-1,31.001),0)),HolidayList[Date],0))),(VLOOKUP(VLOOKUP(WEEKDAY(DATE($A$2,INT((COLUMN()-1)/31.001)+$A$1,ROUNDUP(MOD(COLUMN()-1,31.001),0)),2),Sheet3!$D$1:$E$7,2,0),$NW$21:$NX$35,2,0)="Yes"))</f>
        <v>1</v>
      </c>
      <c r="DA3" s="13" t="b">
        <f>AND(NOT(ISNUMBER(MATCH(DATE($A$2,INT((COLUMN()-1)/31.001)+$A$1,ROUNDUP(MOD(COLUMN()-1,31.001),0)),HolidayList[Date],0))),(VLOOKUP(VLOOKUP(WEEKDAY(DATE($A$2,INT((COLUMN()-1)/31.001)+$A$1,ROUNDUP(MOD(COLUMN()-1,31.001),0)),2),Sheet3!$D$1:$E$7,2,0),$NW$21:$NX$35,2,0)="Yes"))</f>
        <v>1</v>
      </c>
      <c r="DB3" s="13" t="b">
        <f>AND(NOT(ISNUMBER(MATCH(DATE($A$2,INT((COLUMN()-1)/31.001)+$A$1,ROUNDUP(MOD(COLUMN()-1,31.001),0)),HolidayList[Date],0))),(VLOOKUP(VLOOKUP(WEEKDAY(DATE($A$2,INT((COLUMN()-1)/31.001)+$A$1,ROUNDUP(MOD(COLUMN()-1,31.001),0)),2),Sheet3!$D$1:$E$7,2,0),$NW$21:$NX$35,2,0)="Yes"))</f>
        <v>0</v>
      </c>
      <c r="DC3" s="13" t="b">
        <f>AND(NOT(ISNUMBER(MATCH(DATE($A$2,INT((COLUMN()-1)/31.001)+$A$1,ROUNDUP(MOD(COLUMN()-1,31.001),0)),HolidayList[Date],0))),(VLOOKUP(VLOOKUP(WEEKDAY(DATE($A$2,INT((COLUMN()-1)/31.001)+$A$1,ROUNDUP(MOD(COLUMN()-1,31.001),0)),2),Sheet3!$D$1:$E$7,2,0),$NW$21:$NX$35,2,0)="Yes"))</f>
        <v>0</v>
      </c>
      <c r="DD3" s="13" t="b">
        <f>AND(NOT(ISNUMBER(MATCH(DATE($A$2,INT((COLUMN()-1)/31.001)+$A$1,ROUNDUP(MOD(COLUMN()-1,31.001),0)),HolidayList[Date],0))),(VLOOKUP(VLOOKUP(WEEKDAY(DATE($A$2,INT((COLUMN()-1)/31.001)+$A$1,ROUNDUP(MOD(COLUMN()-1,31.001),0)),2),Sheet3!$D$1:$E$7,2,0),$NW$21:$NX$35,2,0)="Yes"))</f>
        <v>1</v>
      </c>
      <c r="DE3" s="13" t="b">
        <f>AND(NOT(ISNUMBER(MATCH(DATE($A$2,INT((COLUMN()-1)/31.001)+$A$1,ROUNDUP(MOD(COLUMN()-1,31.001),0)),HolidayList[Date],0))),(VLOOKUP(VLOOKUP(WEEKDAY(DATE($A$2,INT((COLUMN()-1)/31.001)+$A$1,ROUNDUP(MOD(COLUMN()-1,31.001),0)),2),Sheet3!$D$1:$E$7,2,0),$NW$21:$NX$35,2,0)="Yes"))</f>
        <v>1</v>
      </c>
      <c r="DF3" s="13" t="b">
        <f>AND(NOT(ISNUMBER(MATCH(DATE($A$2,INT((COLUMN()-1)/31.001)+$A$1,ROUNDUP(MOD(COLUMN()-1,31.001),0)),HolidayList[Date],0))),(VLOOKUP(VLOOKUP(WEEKDAY(DATE($A$2,INT((COLUMN()-1)/31.001)+$A$1,ROUNDUP(MOD(COLUMN()-1,31.001),0)),2),Sheet3!$D$1:$E$7,2,0),$NW$21:$NX$35,2,0)="Yes"))</f>
        <v>1</v>
      </c>
      <c r="DG3" s="13" t="b">
        <f>AND(NOT(ISNUMBER(MATCH(DATE($A$2,INT((COLUMN()-1)/31.001)+$A$1,ROUNDUP(MOD(COLUMN()-1,31.001),0)),HolidayList[Date],0))),(VLOOKUP(VLOOKUP(WEEKDAY(DATE($A$2,INT((COLUMN()-1)/31.001)+$A$1,ROUNDUP(MOD(COLUMN()-1,31.001),0)),2),Sheet3!$D$1:$E$7,2,0),$NW$21:$NX$35,2,0)="Yes"))</f>
        <v>1</v>
      </c>
      <c r="DH3" s="13" t="b">
        <f>AND(NOT(ISNUMBER(MATCH(DATE($A$2,INT((COLUMN()-1)/31.001)+$A$1,ROUNDUP(MOD(COLUMN()-1,31.001),0)),HolidayList[Date],0))),(VLOOKUP(VLOOKUP(WEEKDAY(DATE($A$2,INT((COLUMN()-1)/31.001)+$A$1,ROUNDUP(MOD(COLUMN()-1,31.001),0)),2),Sheet3!$D$1:$E$7,2,0),$NW$21:$NX$35,2,0)="Yes"))</f>
        <v>1</v>
      </c>
      <c r="DI3" s="13" t="b">
        <f>AND(NOT(ISNUMBER(MATCH(DATE($A$2,INT((COLUMN()-1)/31.001)+$A$1,ROUNDUP(MOD(COLUMN()-1,31.001),0)),HolidayList[Date],0))),(VLOOKUP(VLOOKUP(WEEKDAY(DATE($A$2,INT((COLUMN()-1)/31.001)+$A$1,ROUNDUP(MOD(COLUMN()-1,31.001),0)),2),Sheet3!$D$1:$E$7,2,0),$NW$21:$NX$35,2,0)="Yes"))</f>
        <v>0</v>
      </c>
      <c r="DJ3" s="13" t="b">
        <f>AND(NOT(ISNUMBER(MATCH(DATE($A$2,INT((COLUMN()-1)/31.001)+$A$1,ROUNDUP(MOD(COLUMN()-1,31.001),0)),HolidayList[Date],0))),(VLOOKUP(VLOOKUP(WEEKDAY(DATE($A$2,INT((COLUMN()-1)/31.001)+$A$1,ROUNDUP(MOD(COLUMN()-1,31.001),0)),2),Sheet3!$D$1:$E$7,2,0),$NW$21:$NX$35,2,0)="Yes"))</f>
        <v>0</v>
      </c>
      <c r="DK3" s="13" t="b">
        <f>AND(NOT(ISNUMBER(MATCH(DATE($A$2,INT((COLUMN()-1)/31.001)+$A$1,ROUNDUP(MOD(COLUMN()-1,31.001),0)),HolidayList[Date],0))),(VLOOKUP(VLOOKUP(WEEKDAY(DATE($A$2,INT((COLUMN()-1)/31.001)+$A$1,ROUNDUP(MOD(COLUMN()-1,31.001),0)),2),Sheet3!$D$1:$E$7,2,0),$NW$21:$NX$35,2,0)="Yes"))</f>
        <v>1</v>
      </c>
      <c r="DL3" s="13" t="b">
        <f>AND(NOT(ISNUMBER(MATCH(DATE($A$2,INT((COLUMN()-1)/31.001)+$A$1,ROUNDUP(MOD(COLUMN()-1,31.001),0)),HolidayList[Date],0))),(VLOOKUP(VLOOKUP(WEEKDAY(DATE($A$2,INT((COLUMN()-1)/31.001)+$A$1,ROUNDUP(MOD(COLUMN()-1,31.001),0)),2),Sheet3!$D$1:$E$7,2,0),$NW$21:$NX$35,2,0)="Yes"))</f>
        <v>1</v>
      </c>
      <c r="DM3" s="13" t="b">
        <f>AND(NOT(ISNUMBER(MATCH(DATE($A$2,INT((COLUMN()-1)/31.001)+$A$1,ROUNDUP(MOD(COLUMN()-1,31.001),0)),HolidayList[Date],0))),(VLOOKUP(VLOOKUP(WEEKDAY(DATE($A$2,INT((COLUMN()-1)/31.001)+$A$1,ROUNDUP(MOD(COLUMN()-1,31.001),0)),2),Sheet3!$D$1:$E$7,2,0),$NW$21:$NX$35,2,0)="Yes"))</f>
        <v>1</v>
      </c>
      <c r="DN3" s="13" t="b">
        <f>AND(NOT(ISNUMBER(MATCH(DATE($A$2,INT((COLUMN()-1)/31.001)+$A$1,ROUNDUP(MOD(COLUMN()-1,31.001),0)),HolidayList[Date],0))),(VLOOKUP(VLOOKUP(WEEKDAY(DATE($A$2,INT((COLUMN()-1)/31.001)+$A$1,ROUNDUP(MOD(COLUMN()-1,31.001),0)),2),Sheet3!$D$1:$E$7,2,0),$NW$21:$NX$35,2,0)="Yes"))</f>
        <v>1</v>
      </c>
      <c r="DO3" s="13" t="b">
        <f>AND(NOT(ISNUMBER(MATCH(DATE($A$2,INT((COLUMN()-1)/31.001)+$A$1,ROUNDUP(MOD(COLUMN()-1,31.001),0)),HolidayList[Date],0))),(VLOOKUP(VLOOKUP(WEEKDAY(DATE($A$2,INT((COLUMN()-1)/31.001)+$A$1,ROUNDUP(MOD(COLUMN()-1,31.001),0)),2),Sheet3!$D$1:$E$7,2,0),$NW$21:$NX$35,2,0)="Yes"))</f>
        <v>1</v>
      </c>
      <c r="DP3" s="13" t="b">
        <f>AND(NOT(ISNUMBER(MATCH(DATE($A$2,INT((COLUMN()-1)/31.001)+$A$1,ROUNDUP(MOD(COLUMN()-1,31.001),0)),HolidayList[Date],0))),(VLOOKUP(VLOOKUP(WEEKDAY(DATE($A$2,INT((COLUMN()-1)/31.001)+$A$1,ROUNDUP(MOD(COLUMN()-1,31.001),0)),2),Sheet3!$D$1:$E$7,2,0),$NW$21:$NX$35,2,0)="Yes"))</f>
        <v>0</v>
      </c>
      <c r="DQ3" s="13" t="b">
        <f>AND(NOT(ISNUMBER(MATCH(DATE($A$2,INT((COLUMN()-1)/31.001)+$A$1,ROUNDUP(MOD(COLUMN()-1,31.001),0)),HolidayList[Date],0))),(VLOOKUP(VLOOKUP(WEEKDAY(DATE($A$2,INT((COLUMN()-1)/31.001)+$A$1,ROUNDUP(MOD(COLUMN()-1,31.001),0)),2),Sheet3!$D$1:$E$7,2,0),$NW$21:$NX$35,2,0)="Yes"))</f>
        <v>0</v>
      </c>
      <c r="DR3" s="13" t="b">
        <f>AND(NOT(ISNUMBER(MATCH(DATE($A$2,INT((COLUMN()-1)/31.001)+$A$1,ROUNDUP(MOD(COLUMN()-1,31.001),0)),HolidayList[Date],0))),(VLOOKUP(VLOOKUP(WEEKDAY(DATE($A$2,INT((COLUMN()-1)/31.001)+$A$1,ROUNDUP(MOD(COLUMN()-1,31.001),0)),2),Sheet3!$D$1:$E$7,2,0),$NW$21:$NX$35,2,0)="Yes"))</f>
        <v>1</v>
      </c>
      <c r="DS3" s="13" t="b">
        <f>AND(NOT(ISNUMBER(MATCH(DATE($A$2,INT((COLUMN()-1)/31.001)+$A$1,ROUNDUP(MOD(COLUMN()-1,31.001),0)),HolidayList[Date],0))),(VLOOKUP(VLOOKUP(WEEKDAY(DATE($A$2,INT((COLUMN()-1)/31.001)+$A$1,ROUNDUP(MOD(COLUMN()-1,31.001),0)),2),Sheet3!$D$1:$E$7,2,0),$NW$21:$NX$35,2,0)="Yes"))</f>
        <v>1</v>
      </c>
      <c r="DT3" s="13" t="b">
        <f>AND(NOT(ISNUMBER(MATCH(DATE($A$2,INT((COLUMN()-1)/31.001)+$A$1,ROUNDUP(MOD(COLUMN()-1,31.001),0)),HolidayList[Date],0))),(VLOOKUP(VLOOKUP(WEEKDAY(DATE($A$2,INT((COLUMN()-1)/31.001)+$A$1,ROUNDUP(MOD(COLUMN()-1,31.001),0)),2),Sheet3!$D$1:$E$7,2,0),$NW$21:$NX$35,2,0)="Yes"))</f>
        <v>1</v>
      </c>
      <c r="DU3" s="13" t="b">
        <f>AND(NOT(ISNUMBER(MATCH(DATE($A$2,INT((COLUMN()-1)/31.001)+$A$1,ROUNDUP(MOD(COLUMN()-1,31.001),0)),HolidayList[Date],0))),(VLOOKUP(VLOOKUP(WEEKDAY(DATE($A$2,INT((COLUMN()-1)/31.001)+$A$1,ROUNDUP(MOD(COLUMN()-1,31.001),0)),2),Sheet3!$D$1:$E$7,2,0),$NW$21:$NX$35,2,0)="Yes"))</f>
        <v>1</v>
      </c>
      <c r="DV3" s="13" t="b">
        <f>AND(NOT(ISNUMBER(MATCH(DATE($A$2,INT((COLUMN()-1)/31.001)+$A$1,ROUNDUP(MOD(COLUMN()-1,31.001),0)),HolidayList[Date],0))),(VLOOKUP(VLOOKUP(WEEKDAY(DATE($A$2,INT((COLUMN()-1)/31.001)+$A$1,ROUNDUP(MOD(COLUMN()-1,31.001),0)),2),Sheet3!$D$1:$E$7,2,0),$NW$21:$NX$35,2,0)="Yes"))</f>
        <v>1</v>
      </c>
      <c r="DW3" s="13" t="b">
        <f>AND(NOT(ISNUMBER(MATCH(DATE($A$2,INT((COLUMN()-1)/31.001)+$A$1,ROUNDUP(MOD(COLUMN()-1,31.001),0)),HolidayList[Date],0))),(VLOOKUP(VLOOKUP(WEEKDAY(DATE($A$2,INT((COLUMN()-1)/31.001)+$A$1,ROUNDUP(MOD(COLUMN()-1,31.001),0)),2),Sheet3!$D$1:$E$7,2,0),$NW$21:$NX$35,2,0)="Yes"))</f>
        <v>1</v>
      </c>
      <c r="DX3" s="13" t="b">
        <f>AND(NOT(ISNUMBER(MATCH(DATE($A$2,INT((COLUMN()-1)/31.001)+$A$1,ROUNDUP(MOD(COLUMN()-1,31.001),0)),HolidayList[Date],0))),(VLOOKUP(VLOOKUP(WEEKDAY(DATE($A$2,INT((COLUMN()-1)/31.001)+$A$1,ROUNDUP(MOD(COLUMN()-1,31.001),0)),2),Sheet3!$D$1:$E$7,2,0),$NW$21:$NX$35,2,0)="Yes"))</f>
        <v>0</v>
      </c>
      <c r="DY3" s="13" t="b">
        <f>AND(NOT(ISNUMBER(MATCH(DATE($A$2,INT((COLUMN()-1)/31.001)+$A$1,ROUNDUP(MOD(COLUMN()-1,31.001),0)),HolidayList[Date],0))),(VLOOKUP(VLOOKUP(WEEKDAY(DATE($A$2,INT((COLUMN()-1)/31.001)+$A$1,ROUNDUP(MOD(COLUMN()-1,31.001),0)),2),Sheet3!$D$1:$E$7,2,0),$NW$21:$NX$35,2,0)="Yes"))</f>
        <v>0</v>
      </c>
      <c r="DZ3" s="13" t="b">
        <f>AND(NOT(ISNUMBER(MATCH(DATE($A$2,INT((COLUMN()-1)/31.001)+$A$1,ROUNDUP(MOD(COLUMN()-1,31.001),0)),HolidayList[Date],0))),(VLOOKUP(VLOOKUP(WEEKDAY(DATE($A$2,INT((COLUMN()-1)/31.001)+$A$1,ROUNDUP(MOD(COLUMN()-1,31.001),0)),2),Sheet3!$D$1:$E$7,2,0),$NW$21:$NX$35,2,0)="Yes"))</f>
        <v>1</v>
      </c>
      <c r="EA3" s="13" t="b">
        <f>AND(NOT(ISNUMBER(MATCH(DATE($A$2,INT((COLUMN()-1)/31.001)+$A$1,ROUNDUP(MOD(COLUMN()-1,31.001),0)),HolidayList[Date],0))),(VLOOKUP(VLOOKUP(WEEKDAY(DATE($A$2,INT((COLUMN()-1)/31.001)+$A$1,ROUNDUP(MOD(COLUMN()-1,31.001),0)),2),Sheet3!$D$1:$E$7,2,0),$NW$21:$NX$35,2,0)="Yes"))</f>
        <v>1</v>
      </c>
      <c r="EB3" s="13" t="b">
        <f>AND(NOT(ISNUMBER(MATCH(DATE($A$2,INT((COLUMN()-1)/31.001)+$A$1,ROUNDUP(MOD(COLUMN()-1,31.001),0)),HolidayList[Date],0))),(VLOOKUP(VLOOKUP(WEEKDAY(DATE($A$2,INT((COLUMN()-1)/31.001)+$A$1,ROUNDUP(MOD(COLUMN()-1,31.001),0)),2),Sheet3!$D$1:$E$7,2,0),$NW$21:$NX$35,2,0)="Yes"))</f>
        <v>1</v>
      </c>
      <c r="EC3" s="13" t="b">
        <f>AND(NOT(ISNUMBER(MATCH(DATE($A$2,INT((COLUMN()-1)/31.001)+$A$1,ROUNDUP(MOD(COLUMN()-1,31.001),0)),HolidayList[Date],0))),(VLOOKUP(VLOOKUP(WEEKDAY(DATE($A$2,INT((COLUMN()-1)/31.001)+$A$1,ROUNDUP(MOD(COLUMN()-1,31.001),0)),2),Sheet3!$D$1:$E$7,2,0),$NW$21:$NX$35,2,0)="Yes"))</f>
        <v>1</v>
      </c>
      <c r="ED3" s="13" t="b">
        <f>AND(NOT(ISNUMBER(MATCH(DATE($A$2,INT((COLUMN()-1)/31.001)+$A$1,ROUNDUP(MOD(COLUMN()-1,31.001),0)),HolidayList[Date],0))),(VLOOKUP(VLOOKUP(WEEKDAY(DATE($A$2,INT((COLUMN()-1)/31.001)+$A$1,ROUNDUP(MOD(COLUMN()-1,31.001),0)),2),Sheet3!$D$1:$E$7,2,0),$NW$21:$NX$35,2,0)="Yes"))</f>
        <v>1</v>
      </c>
      <c r="EE3" s="13" t="b">
        <f>AND(NOT(ISNUMBER(MATCH(DATE($A$2,INT((COLUMN()-1)/31.001)+$A$1,ROUNDUP(MOD(COLUMN()-1,31.001),0)),HolidayList[Date],0))),(VLOOKUP(VLOOKUP(WEEKDAY(DATE($A$2,INT((COLUMN()-1)/31.001)+$A$1,ROUNDUP(MOD(COLUMN()-1,31.001),0)),2),Sheet3!$D$1:$E$7,2,0),$NW$21:$NX$35,2,0)="Yes"))</f>
        <v>0</v>
      </c>
      <c r="EF3" s="13" t="b">
        <f>AND(NOT(ISNUMBER(MATCH(DATE($A$2,INT((COLUMN()-1)/31.001)+$A$1,ROUNDUP(MOD(COLUMN()-1,31.001),0)),HolidayList[Date],0))),(VLOOKUP(VLOOKUP(WEEKDAY(DATE($A$2,INT((COLUMN()-1)/31.001)+$A$1,ROUNDUP(MOD(COLUMN()-1,31.001),0)),2),Sheet3!$D$1:$E$7,2,0),$NW$21:$NX$35,2,0)="Yes"))</f>
        <v>0</v>
      </c>
      <c r="EG3" s="13" t="b">
        <f>AND(NOT(ISNUMBER(MATCH(DATE($A$2,INT((COLUMN()-1)/31.001)+$A$1,ROUNDUP(MOD(COLUMN()-1,31.001),0)),HolidayList[Date],0))),(VLOOKUP(VLOOKUP(WEEKDAY(DATE($A$2,INT((COLUMN()-1)/31.001)+$A$1,ROUNDUP(MOD(COLUMN()-1,31.001),0)),2),Sheet3!$D$1:$E$7,2,0),$NW$21:$NX$35,2,0)="Yes"))</f>
        <v>1</v>
      </c>
      <c r="EH3" s="13" t="b">
        <f>AND(NOT(ISNUMBER(MATCH(DATE($A$2,INT((COLUMN()-1)/31.001)+$A$1,ROUNDUP(MOD(COLUMN()-1,31.001),0)),HolidayList[Date],0))),(VLOOKUP(VLOOKUP(WEEKDAY(DATE($A$2,INT((COLUMN()-1)/31.001)+$A$1,ROUNDUP(MOD(COLUMN()-1,31.001),0)),2),Sheet3!$D$1:$E$7,2,0),$NW$21:$NX$35,2,0)="Yes"))</f>
        <v>1</v>
      </c>
      <c r="EI3" s="13" t="b">
        <f>AND(NOT(ISNUMBER(MATCH(DATE($A$2,INT((COLUMN()-1)/31.001)+$A$1,ROUNDUP(MOD(COLUMN()-1,31.001),0)),HolidayList[Date],0))),(VLOOKUP(VLOOKUP(WEEKDAY(DATE($A$2,INT((COLUMN()-1)/31.001)+$A$1,ROUNDUP(MOD(COLUMN()-1,31.001),0)),2),Sheet3!$D$1:$E$7,2,0),$NW$21:$NX$35,2,0)="Yes"))</f>
        <v>1</v>
      </c>
      <c r="EJ3" s="13" t="b">
        <f>AND(NOT(ISNUMBER(MATCH(DATE($A$2,INT((COLUMN()-1)/31.001)+$A$1,ROUNDUP(MOD(COLUMN()-1,31.001),0)),HolidayList[Date],0))),(VLOOKUP(VLOOKUP(WEEKDAY(DATE($A$2,INT((COLUMN()-1)/31.001)+$A$1,ROUNDUP(MOD(COLUMN()-1,31.001),0)),2),Sheet3!$D$1:$E$7,2,0),$NW$21:$NX$35,2,0)="Yes"))</f>
        <v>1</v>
      </c>
      <c r="EK3" s="13" t="b">
        <f>AND(NOT(ISNUMBER(MATCH(DATE($A$2,INT((COLUMN()-1)/31.001)+$A$1,ROUNDUP(MOD(COLUMN()-1,31.001),0)),HolidayList[Date],0))),(VLOOKUP(VLOOKUP(WEEKDAY(DATE($A$2,INT((COLUMN()-1)/31.001)+$A$1,ROUNDUP(MOD(COLUMN()-1,31.001),0)),2),Sheet3!$D$1:$E$7,2,0),$NW$21:$NX$35,2,0)="Yes"))</f>
        <v>1</v>
      </c>
      <c r="EL3" s="13" t="b">
        <f>AND(NOT(ISNUMBER(MATCH(DATE($A$2,INT((COLUMN()-1)/31.001)+$A$1,ROUNDUP(MOD(COLUMN()-1,31.001),0)),HolidayList[Date],0))),(VLOOKUP(VLOOKUP(WEEKDAY(DATE($A$2,INT((COLUMN()-1)/31.001)+$A$1,ROUNDUP(MOD(COLUMN()-1,31.001),0)),2),Sheet3!$D$1:$E$7,2,0),$NW$21:$NX$35,2,0)="Yes"))</f>
        <v>0</v>
      </c>
      <c r="EM3" s="13" t="b">
        <f>AND(NOT(ISNUMBER(MATCH(DATE($A$2,INT((COLUMN()-1)/31.001)+$A$1,ROUNDUP(MOD(COLUMN()-1,31.001),0)),HolidayList[Date],0))),(VLOOKUP(VLOOKUP(WEEKDAY(DATE($A$2,INT((COLUMN()-1)/31.001)+$A$1,ROUNDUP(MOD(COLUMN()-1,31.001),0)),2),Sheet3!$D$1:$E$7,2,0),$NW$21:$NX$35,2,0)="Yes"))</f>
        <v>0</v>
      </c>
      <c r="EN3" s="13" t="b">
        <f>AND(NOT(ISNUMBER(MATCH(DATE($A$2,INT((COLUMN()-1)/31.001)+$A$1,ROUNDUP(MOD(COLUMN()-1,31.001),0)),HolidayList[Date],0))),(VLOOKUP(VLOOKUP(WEEKDAY(DATE($A$2,INT((COLUMN()-1)/31.001)+$A$1,ROUNDUP(MOD(COLUMN()-1,31.001),0)),2),Sheet3!$D$1:$E$7,2,0),$NW$21:$NX$35,2,0)="Yes"))</f>
        <v>1</v>
      </c>
      <c r="EO3" s="13" t="b">
        <f>AND(NOT(ISNUMBER(MATCH(DATE($A$2,INT((COLUMN()-1)/31.001)+$A$1,ROUNDUP(MOD(COLUMN()-1,31.001),0)),HolidayList[Date],0))),(VLOOKUP(VLOOKUP(WEEKDAY(DATE($A$2,INT((COLUMN()-1)/31.001)+$A$1,ROUNDUP(MOD(COLUMN()-1,31.001),0)),2),Sheet3!$D$1:$E$7,2,0),$NW$21:$NX$35,2,0)="Yes"))</f>
        <v>1</v>
      </c>
      <c r="EP3" s="13" t="b">
        <f>AND(NOT(ISNUMBER(MATCH(DATE($A$2,INT((COLUMN()-1)/31.001)+$A$1,ROUNDUP(MOD(COLUMN()-1,31.001),0)),HolidayList[Date],0))),(VLOOKUP(VLOOKUP(WEEKDAY(DATE($A$2,INT((COLUMN()-1)/31.001)+$A$1,ROUNDUP(MOD(COLUMN()-1,31.001),0)),2),Sheet3!$D$1:$E$7,2,0),$NW$21:$NX$35,2,0)="Yes"))</f>
        <v>1</v>
      </c>
      <c r="EQ3" s="13" t="b">
        <f>AND(NOT(ISNUMBER(MATCH(DATE($A$2,INT((COLUMN()-1)/31.001)+$A$1,ROUNDUP(MOD(COLUMN()-1,31.001),0)),HolidayList[Date],0))),(VLOOKUP(VLOOKUP(WEEKDAY(DATE($A$2,INT((COLUMN()-1)/31.001)+$A$1,ROUNDUP(MOD(COLUMN()-1,31.001),0)),2),Sheet3!$D$1:$E$7,2,0),$NW$21:$NX$35,2,0)="Yes"))</f>
        <v>1</v>
      </c>
      <c r="ER3" s="13" t="b">
        <f>AND(NOT(ISNUMBER(MATCH(DATE($A$2,INT((COLUMN()-1)/31.001)+$A$1,ROUNDUP(MOD(COLUMN()-1,31.001),0)),HolidayList[Date],0))),(VLOOKUP(VLOOKUP(WEEKDAY(DATE($A$2,INT((COLUMN()-1)/31.001)+$A$1,ROUNDUP(MOD(COLUMN()-1,31.001),0)),2),Sheet3!$D$1:$E$7,2,0),$NW$21:$NX$35,2,0)="Yes"))</f>
        <v>1</v>
      </c>
      <c r="ES3" s="13" t="b">
        <f>AND(NOT(ISNUMBER(MATCH(DATE($A$2,INT((COLUMN()-1)/31.001)+$A$1,ROUNDUP(MOD(COLUMN()-1,31.001),0)),HolidayList[Date],0))),(VLOOKUP(VLOOKUP(WEEKDAY(DATE($A$2,INT((COLUMN()-1)/31.001)+$A$1,ROUNDUP(MOD(COLUMN()-1,31.001),0)),2),Sheet3!$D$1:$E$7,2,0),$NW$21:$NX$35,2,0)="Yes"))</f>
        <v>0</v>
      </c>
      <c r="ET3" s="13" t="b">
        <f>AND(NOT(ISNUMBER(MATCH(DATE($A$2,INT((COLUMN()-1)/31.001)+$A$1,ROUNDUP(MOD(COLUMN()-1,31.001),0)),HolidayList[Date],0))),(VLOOKUP(VLOOKUP(WEEKDAY(DATE($A$2,INT((COLUMN()-1)/31.001)+$A$1,ROUNDUP(MOD(COLUMN()-1,31.001),0)),2),Sheet3!$D$1:$E$7,2,0),$NW$21:$NX$35,2,0)="Yes"))</f>
        <v>0</v>
      </c>
      <c r="EU3" s="13" t="b">
        <f>AND(NOT(ISNUMBER(MATCH(DATE($A$2,INT((COLUMN()-1)/31.001)+$A$1,ROUNDUP(MOD(COLUMN()-1,31.001),0)),HolidayList[Date],0))),(VLOOKUP(VLOOKUP(WEEKDAY(DATE($A$2,INT((COLUMN()-1)/31.001)+$A$1,ROUNDUP(MOD(COLUMN()-1,31.001),0)),2),Sheet3!$D$1:$E$7,2,0),$NW$21:$NX$35,2,0)="Yes"))</f>
        <v>1</v>
      </c>
      <c r="EV3" s="13" t="b">
        <f>AND(NOT(ISNUMBER(MATCH(DATE($A$2,INT((COLUMN()-1)/31.001)+$A$1,ROUNDUP(MOD(COLUMN()-1,31.001),0)),HolidayList[Date],0))),(VLOOKUP(VLOOKUP(WEEKDAY(DATE($A$2,INT((COLUMN()-1)/31.001)+$A$1,ROUNDUP(MOD(COLUMN()-1,31.001),0)),2),Sheet3!$D$1:$E$7,2,0),$NW$21:$NX$35,2,0)="Yes"))</f>
        <v>1</v>
      </c>
      <c r="EW3" s="13" t="b">
        <f>AND(NOT(ISNUMBER(MATCH(DATE($A$2,INT((COLUMN()-1)/31.001)+$A$1,ROUNDUP(MOD(COLUMN()-1,31.001),0)),HolidayList[Date],0))),(VLOOKUP(VLOOKUP(WEEKDAY(DATE($A$2,INT((COLUMN()-1)/31.001)+$A$1,ROUNDUP(MOD(COLUMN()-1,31.001),0)),2),Sheet3!$D$1:$E$7,2,0),$NW$21:$NX$35,2,0)="Yes"))</f>
        <v>1</v>
      </c>
      <c r="EX3" s="13" t="b">
        <f>AND(NOT(ISNUMBER(MATCH(DATE($A$2,INT((COLUMN()-1)/31.001)+$A$1,ROUNDUP(MOD(COLUMN()-1,31.001),0)),HolidayList[Date],0))),(VLOOKUP(VLOOKUP(WEEKDAY(DATE($A$2,INT((COLUMN()-1)/31.001)+$A$1,ROUNDUP(MOD(COLUMN()-1,31.001),0)),2),Sheet3!$D$1:$E$7,2,0),$NW$21:$NX$35,2,0)="Yes"))</f>
        <v>1</v>
      </c>
      <c r="EY3" s="13" t="b">
        <f>AND(NOT(ISNUMBER(MATCH(DATE($A$2,INT((COLUMN()-1)/31.001)+$A$1,ROUNDUP(MOD(COLUMN()-1,31.001),0)),HolidayList[Date],0))),(VLOOKUP(VLOOKUP(WEEKDAY(DATE($A$2,INT((COLUMN()-1)/31.001)+$A$1,ROUNDUP(MOD(COLUMN()-1,31.001),0)),2),Sheet3!$D$1:$E$7,2,0),$NW$21:$NX$35,2,0)="Yes"))</f>
        <v>1</v>
      </c>
      <c r="EZ3" s="13" t="b">
        <f>AND(NOT(ISNUMBER(MATCH(DATE($A$2,INT((COLUMN()-1)/31.001)+$A$1,ROUNDUP(MOD(COLUMN()-1,31.001),0)),HolidayList[Date],0))),(VLOOKUP(VLOOKUP(WEEKDAY(DATE($A$2,INT((COLUMN()-1)/31.001)+$A$1,ROUNDUP(MOD(COLUMN()-1,31.001),0)),2),Sheet3!$D$1:$E$7,2,0),$NW$21:$NX$35,2,0)="Yes"))</f>
        <v>0</v>
      </c>
      <c r="FA3" s="13" t="b">
        <f>AND(NOT(ISNUMBER(MATCH(DATE($A$2,INT((COLUMN()-1)/31.001)+$A$1,ROUNDUP(MOD(COLUMN()-1,31.001),0)),HolidayList[Date],0))),(VLOOKUP(VLOOKUP(WEEKDAY(DATE($A$2,INT((COLUMN()-1)/31.001)+$A$1,ROUNDUP(MOD(COLUMN()-1,31.001),0)),2),Sheet3!$D$1:$E$7,2,0),$NW$21:$NX$35,2,0)="Yes"))</f>
        <v>0</v>
      </c>
      <c r="FB3" s="13" t="b">
        <f>AND(NOT(ISNUMBER(MATCH(DATE($A$2,INT((COLUMN()-1)/31.001)+$A$1,ROUNDUP(MOD(COLUMN()-1,31.001),0)),HolidayList[Date],0))),(VLOOKUP(VLOOKUP(WEEKDAY(DATE($A$2,INT((COLUMN()-1)/31.001)+$A$1,ROUNDUP(MOD(COLUMN()-1,31.001),0)),2),Sheet3!$D$1:$E$7,2,0),$NW$21:$NX$35,2,0)="Yes"))</f>
        <v>1</v>
      </c>
      <c r="FC3" s="13" t="b">
        <f>AND(NOT(ISNUMBER(MATCH(DATE($A$2,INT((COLUMN()-1)/31.001)+$A$1,ROUNDUP(MOD(COLUMN()-1,31.001),0)),HolidayList[Date],0))),(VLOOKUP(VLOOKUP(WEEKDAY(DATE($A$2,INT((COLUMN()-1)/31.001)+$A$1,ROUNDUP(MOD(COLUMN()-1,31.001),0)),2),Sheet3!$D$1:$E$7,2,0),$NW$21:$NX$35,2,0)="Yes"))</f>
        <v>1</v>
      </c>
      <c r="FD3" s="13" t="b">
        <f>AND(NOT(ISNUMBER(MATCH(DATE($A$2,INT((COLUMN()-1)/31.001)+$A$1,ROUNDUP(MOD(COLUMN()-1,31.001),0)),HolidayList[Date],0))),(VLOOKUP(VLOOKUP(WEEKDAY(DATE($A$2,INT((COLUMN()-1)/31.001)+$A$1,ROUNDUP(MOD(COLUMN()-1,31.001),0)),2),Sheet3!$D$1:$E$7,2,0),$NW$21:$NX$35,2,0)="Yes"))</f>
        <v>1</v>
      </c>
      <c r="FE3" s="13" t="b">
        <f>AND(NOT(ISNUMBER(MATCH(DATE($A$2,INT((COLUMN()-1)/31.001)+$A$1,ROUNDUP(MOD(COLUMN()-1,31.001),0)),HolidayList[Date],0))),(VLOOKUP(VLOOKUP(WEEKDAY(DATE($A$2,INT((COLUMN()-1)/31.001)+$A$1,ROUNDUP(MOD(COLUMN()-1,31.001),0)),2),Sheet3!$D$1:$E$7,2,0),$NW$21:$NX$35,2,0)="Yes"))</f>
        <v>1</v>
      </c>
      <c r="FF3" s="13" t="b">
        <f>AND(NOT(ISNUMBER(MATCH(DATE($A$2,INT((COLUMN()-1)/31.001)+$A$1,ROUNDUP(MOD(COLUMN()-1,31.001),0)),HolidayList[Date],0))),(VLOOKUP(VLOOKUP(WEEKDAY(DATE($A$2,INT((COLUMN()-1)/31.001)+$A$1,ROUNDUP(MOD(COLUMN()-1,31.001),0)),2),Sheet3!$D$1:$E$7,2,0),$NW$21:$NX$35,2,0)="Yes"))</f>
        <v>1</v>
      </c>
      <c r="FG3" s="13" t="b">
        <f>AND(NOT(ISNUMBER(MATCH(DATE($A$2,INT((COLUMN()-1)/31.001)+$A$1,ROUNDUP(MOD(COLUMN()-1,31.001),0)),HolidayList[Date],0))),(VLOOKUP(VLOOKUP(WEEKDAY(DATE($A$2,INT((COLUMN()-1)/31.001)+$A$1,ROUNDUP(MOD(COLUMN()-1,31.001),0)),2),Sheet3!$D$1:$E$7,2,0),$NW$21:$NX$35,2,0)="Yes"))</f>
        <v>0</v>
      </c>
      <c r="FH3" s="13" t="b">
        <f>AND(NOT(ISNUMBER(MATCH(DATE($A$2,INT((COLUMN()-1)/31.001)+$A$1,ROUNDUP(MOD(COLUMN()-1,31.001),0)),HolidayList[Date],0))),(VLOOKUP(VLOOKUP(WEEKDAY(DATE($A$2,INT((COLUMN()-1)/31.001)+$A$1,ROUNDUP(MOD(COLUMN()-1,31.001),0)),2),Sheet3!$D$1:$E$7,2,0),$NW$21:$NX$35,2,0)="Yes"))</f>
        <v>0</v>
      </c>
      <c r="FI3" s="13" t="b">
        <f>AND(NOT(ISNUMBER(MATCH(DATE($A$2,INT((COLUMN()-1)/31.001)+$A$1,ROUNDUP(MOD(COLUMN()-1,31.001),0)),HolidayList[Date],0))),(VLOOKUP(VLOOKUP(WEEKDAY(DATE($A$2,INT((COLUMN()-1)/31.001)+$A$1,ROUNDUP(MOD(COLUMN()-1,31.001),0)),2),Sheet3!$D$1:$E$7,2,0),$NW$21:$NX$35,2,0)="Yes"))</f>
        <v>1</v>
      </c>
      <c r="FJ3" s="13" t="b">
        <f>AND(NOT(ISNUMBER(MATCH(DATE($A$2,INT((COLUMN()-1)/31.001)+$A$1,ROUNDUP(MOD(COLUMN()-1,31.001),0)),HolidayList[Date],0))),(VLOOKUP(VLOOKUP(WEEKDAY(DATE($A$2,INT((COLUMN()-1)/31.001)+$A$1,ROUNDUP(MOD(COLUMN()-1,31.001),0)),2),Sheet3!$D$1:$E$7,2,0),$NW$21:$NX$35,2,0)="Yes"))</f>
        <v>1</v>
      </c>
      <c r="FK3" s="13" t="b">
        <f>AND(NOT(ISNUMBER(MATCH(DATE($A$2,INT((COLUMN()-1)/31.001)+$A$1,ROUNDUP(MOD(COLUMN()-1,31.001),0)),HolidayList[Date],0))),(VLOOKUP(VLOOKUP(WEEKDAY(DATE($A$2,INT((COLUMN()-1)/31.001)+$A$1,ROUNDUP(MOD(COLUMN()-1,31.001),0)),2),Sheet3!$D$1:$E$7,2,0),$NW$21:$NX$35,2,0)="Yes"))</f>
        <v>1</v>
      </c>
      <c r="FL3" s="13" t="b">
        <f>AND(NOT(ISNUMBER(MATCH(DATE($A$2,INT((COLUMN()-1)/31.001)+$A$1,ROUNDUP(MOD(COLUMN()-1,31.001),0)),HolidayList[Date],0))),(VLOOKUP(VLOOKUP(WEEKDAY(DATE($A$2,INT((COLUMN()-1)/31.001)+$A$1,ROUNDUP(MOD(COLUMN()-1,31.001),0)),2),Sheet3!$D$1:$E$7,2,0),$NW$21:$NX$35,2,0)="Yes"))</f>
        <v>1</v>
      </c>
      <c r="FM3" s="13" t="b">
        <f>AND(NOT(ISNUMBER(MATCH(DATE($A$2,INT((COLUMN()-1)/31.001)+$A$1,ROUNDUP(MOD(COLUMN()-1,31.001),0)),HolidayList[Date],0))),(VLOOKUP(VLOOKUP(WEEKDAY(DATE($A$2,INT((COLUMN()-1)/31.001)+$A$1,ROUNDUP(MOD(COLUMN()-1,31.001),0)),2),Sheet3!$D$1:$E$7,2,0),$NW$21:$NX$35,2,0)="Yes"))</f>
        <v>1</v>
      </c>
      <c r="FN3" s="13" t="b">
        <f>AND(NOT(ISNUMBER(MATCH(DATE($A$2,INT((COLUMN()-1)/31.001)+$A$1,ROUNDUP(MOD(COLUMN()-1,31.001),0)),HolidayList[Date],0))),(VLOOKUP(VLOOKUP(WEEKDAY(DATE($A$2,INT((COLUMN()-1)/31.001)+$A$1,ROUNDUP(MOD(COLUMN()-1,31.001),0)),2),Sheet3!$D$1:$E$7,2,0),$NW$21:$NX$35,2,0)="Yes"))</f>
        <v>0</v>
      </c>
      <c r="FO3" s="13" t="b">
        <f>AND(NOT(ISNUMBER(MATCH(DATE($A$2,INT((COLUMN()-1)/31.001)+$A$1,ROUNDUP(MOD(COLUMN()-1,31.001),0)),HolidayList[Date],0))),(VLOOKUP(VLOOKUP(WEEKDAY(DATE($A$2,INT((COLUMN()-1)/31.001)+$A$1,ROUNDUP(MOD(COLUMN()-1,31.001),0)),2),Sheet3!$D$1:$E$7,2,0),$NW$21:$NX$35,2,0)="Yes"))</f>
        <v>0</v>
      </c>
      <c r="FP3" s="13" t="b">
        <f>AND(NOT(ISNUMBER(MATCH(DATE($A$2,INT((COLUMN()-1)/31.001)+$A$1,ROUNDUP(MOD(COLUMN()-1,31.001),0)),HolidayList[Date],0))),(VLOOKUP(VLOOKUP(WEEKDAY(DATE($A$2,INT((COLUMN()-1)/31.001)+$A$1,ROUNDUP(MOD(COLUMN()-1,31.001),0)),2),Sheet3!$D$1:$E$7,2,0),$NW$21:$NX$35,2,0)="Yes"))</f>
        <v>1</v>
      </c>
      <c r="FQ3" s="13" t="b">
        <f>AND(NOT(ISNUMBER(MATCH(DATE($A$2,INT((COLUMN()-1)/31.001)+$A$1,ROUNDUP(MOD(COLUMN()-1,31.001),0)),HolidayList[Date],0))),(VLOOKUP(VLOOKUP(WEEKDAY(DATE($A$2,INT((COLUMN()-1)/31.001)+$A$1,ROUNDUP(MOD(COLUMN()-1,31.001),0)),2),Sheet3!$D$1:$E$7,2,0),$NW$21:$NX$35,2,0)="Yes"))</f>
        <v>1</v>
      </c>
      <c r="FR3" s="13" t="b">
        <f>AND(NOT(ISNUMBER(MATCH(DATE($A$2,INT((COLUMN()-1)/31.001)+$A$1,ROUNDUP(MOD(COLUMN()-1,31.001),0)),HolidayList[Date],0))),(VLOOKUP(VLOOKUP(WEEKDAY(DATE($A$2,INT((COLUMN()-1)/31.001)+$A$1,ROUNDUP(MOD(COLUMN()-1,31.001),0)),2),Sheet3!$D$1:$E$7,2,0),$NW$21:$NX$35,2,0)="Yes"))</f>
        <v>1</v>
      </c>
      <c r="FS3" s="13" t="b">
        <f>AND(NOT(ISNUMBER(MATCH(DATE($A$2,INT((COLUMN()-1)/31.001)+$A$1,ROUNDUP(MOD(COLUMN()-1,31.001),0)),HolidayList[Date],0))),(VLOOKUP(VLOOKUP(WEEKDAY(DATE($A$2,INT((COLUMN()-1)/31.001)+$A$1,ROUNDUP(MOD(COLUMN()-1,31.001),0)),2),Sheet3!$D$1:$E$7,2,0),$NW$21:$NX$35,2,0)="Yes"))</f>
        <v>1</v>
      </c>
      <c r="FT3" s="13" t="b">
        <f>AND(NOT(ISNUMBER(MATCH(DATE($A$2,INT((COLUMN()-1)/31.001)+$A$1,ROUNDUP(MOD(COLUMN()-1,31.001),0)),HolidayList[Date],0))),(VLOOKUP(VLOOKUP(WEEKDAY(DATE($A$2,INT((COLUMN()-1)/31.001)+$A$1,ROUNDUP(MOD(COLUMN()-1,31.001),0)),2),Sheet3!$D$1:$E$7,2,0),$NW$21:$NX$35,2,0)="Yes"))</f>
        <v>1</v>
      </c>
      <c r="FU3" s="13" t="b">
        <f>AND(NOT(ISNUMBER(MATCH(DATE($A$2,INT((COLUMN()-1)/31.001)+$A$1,ROUNDUP(MOD(COLUMN()-1,31.001),0)),HolidayList[Date],0))),(VLOOKUP(VLOOKUP(WEEKDAY(DATE($A$2,INT((COLUMN()-1)/31.001)+$A$1,ROUNDUP(MOD(COLUMN()-1,31.001),0)),2),Sheet3!$D$1:$E$7,2,0),$NW$21:$NX$35,2,0)="Yes"))</f>
        <v>0</v>
      </c>
      <c r="FV3" s="13" t="b">
        <f>AND(NOT(ISNUMBER(MATCH(DATE($A$2,INT((COLUMN()-1)/31.001)+$A$1,ROUNDUP(MOD(COLUMN()-1,31.001),0)),HolidayList[Date],0))),(VLOOKUP(VLOOKUP(WEEKDAY(DATE($A$2,INT((COLUMN()-1)/31.001)+$A$1,ROUNDUP(MOD(COLUMN()-1,31.001),0)),2),Sheet3!$D$1:$E$7,2,0),$NW$21:$NX$35,2,0)="Yes"))</f>
        <v>0</v>
      </c>
      <c r="FW3" s="13" t="b">
        <f>AND(NOT(ISNUMBER(MATCH(DATE($A$2,INT((COLUMN()-1)/31.001)+$A$1,ROUNDUP(MOD(COLUMN()-1,31.001),0)),HolidayList[Date],0))),(VLOOKUP(VLOOKUP(WEEKDAY(DATE($A$2,INT((COLUMN()-1)/31.001)+$A$1,ROUNDUP(MOD(COLUMN()-1,31.001),0)),2),Sheet3!$D$1:$E$7,2,0),$NW$21:$NX$35,2,0)="Yes"))</f>
        <v>1</v>
      </c>
      <c r="FX3" s="13" t="b">
        <f>AND(NOT(ISNUMBER(MATCH(DATE($A$2,INT((COLUMN()-1)/31.001)+$A$1,ROUNDUP(MOD(COLUMN()-1,31.001),0)),HolidayList[Date],0))),(VLOOKUP(VLOOKUP(WEEKDAY(DATE($A$2,INT((COLUMN()-1)/31.001)+$A$1,ROUNDUP(MOD(COLUMN()-1,31.001),0)),2),Sheet3!$D$1:$E$7,2,0),$NW$21:$NX$35,2,0)="Yes"))</f>
        <v>1</v>
      </c>
      <c r="FY3" s="13" t="b">
        <f>AND(NOT(ISNUMBER(MATCH(DATE($A$2,INT((COLUMN()-1)/31.001)+$A$1,ROUNDUP(MOD(COLUMN()-1,31.001),0)),HolidayList[Date],0))),(VLOOKUP(VLOOKUP(WEEKDAY(DATE($A$2,INT((COLUMN()-1)/31.001)+$A$1,ROUNDUP(MOD(COLUMN()-1,31.001),0)),2),Sheet3!$D$1:$E$7,2,0),$NW$21:$NX$35,2,0)="Yes"))</f>
        <v>1</v>
      </c>
      <c r="FZ3" s="13" t="b">
        <f>AND(NOT(ISNUMBER(MATCH(DATE($A$2,INT((COLUMN()-1)/31.001)+$A$1,ROUNDUP(MOD(COLUMN()-1,31.001),0)),HolidayList[Date],0))),(VLOOKUP(VLOOKUP(WEEKDAY(DATE($A$2,INT((COLUMN()-1)/31.001)+$A$1,ROUNDUP(MOD(COLUMN()-1,31.001),0)),2),Sheet3!$D$1:$E$7,2,0),$NW$21:$NX$35,2,0)="Yes"))</f>
        <v>1</v>
      </c>
      <c r="GA3" s="13" t="b">
        <f>AND(NOT(ISNUMBER(MATCH(DATE($A$2,INT((COLUMN()-1)/31.001)+$A$1,ROUNDUP(MOD(COLUMN()-1,31.001),0)),HolidayList[Date],0))),(VLOOKUP(VLOOKUP(WEEKDAY(DATE($A$2,INT((COLUMN()-1)/31.001)+$A$1,ROUNDUP(MOD(COLUMN()-1,31.001),0)),2),Sheet3!$D$1:$E$7,2,0),$NW$21:$NX$35,2,0)="Yes"))</f>
        <v>1</v>
      </c>
      <c r="GB3" s="13" t="b">
        <f>AND(NOT(ISNUMBER(MATCH(DATE($A$2,INT((COLUMN()-1)/31.001)+$A$1,ROUNDUP(MOD(COLUMN()-1,31.001),0)),HolidayList[Date],0))),(VLOOKUP(VLOOKUP(WEEKDAY(DATE($A$2,INT((COLUMN()-1)/31.001)+$A$1,ROUNDUP(MOD(COLUMN()-1,31.001),0)),2),Sheet3!$D$1:$E$7,2,0),$NW$21:$NX$35,2,0)="Yes"))</f>
        <v>0</v>
      </c>
      <c r="GC3" s="13" t="b">
        <f>AND(NOT(ISNUMBER(MATCH(DATE($A$2,INT((COLUMN()-1)/31.001)+$A$1,ROUNDUP(MOD(COLUMN()-1,31.001),0)),HolidayList[Date],0))),(VLOOKUP(VLOOKUP(WEEKDAY(DATE($A$2,INT((COLUMN()-1)/31.001)+$A$1,ROUNDUP(MOD(COLUMN()-1,31.001),0)),2),Sheet3!$D$1:$E$7,2,0),$NW$21:$NX$35,2,0)="Yes"))</f>
        <v>0</v>
      </c>
      <c r="GD3" s="13" t="b">
        <f>AND(NOT(ISNUMBER(MATCH(DATE($A$2,INT((COLUMN()-1)/31.001)+$A$1,ROUNDUP(MOD(COLUMN()-1,31.001),0)),HolidayList[Date],0))),(VLOOKUP(VLOOKUP(WEEKDAY(DATE($A$2,INT((COLUMN()-1)/31.001)+$A$1,ROUNDUP(MOD(COLUMN()-1,31.001),0)),2),Sheet3!$D$1:$E$7,2,0),$NW$21:$NX$35,2,0)="Yes"))</f>
        <v>1</v>
      </c>
      <c r="GE3" s="13" t="b">
        <f>AND(NOT(ISNUMBER(MATCH(DATE($A$2,INT((COLUMN()-1)/31.001)+$A$1,ROUNDUP(MOD(COLUMN()-1,31.001),0)),HolidayList[Date],0))),(VLOOKUP(VLOOKUP(WEEKDAY(DATE($A$2,INT((COLUMN()-1)/31.001)+$A$1,ROUNDUP(MOD(COLUMN()-1,31.001),0)),2),Sheet3!$D$1:$E$7,2,0),$NW$21:$NX$35,2,0)="Yes"))</f>
        <v>1</v>
      </c>
      <c r="GF3" s="13" t="b">
        <f>AND(NOT(ISNUMBER(MATCH(DATE($A$2,INT((COLUMN()-1)/31.001)+$A$1,ROUNDUP(MOD(COLUMN()-1,31.001),0)),HolidayList[Date],0))),(VLOOKUP(VLOOKUP(WEEKDAY(DATE($A$2,INT((COLUMN()-1)/31.001)+$A$1,ROUNDUP(MOD(COLUMN()-1,31.001),0)),2),Sheet3!$D$1:$E$7,2,0),$NW$21:$NX$35,2,0)="Yes"))</f>
        <v>1</v>
      </c>
      <c r="GG3" s="13" t="b">
        <f>AND(NOT(ISNUMBER(MATCH(DATE($A$2,INT((COLUMN()-1)/31.001)+$A$1,ROUNDUP(MOD(COLUMN()-1,31.001),0)),HolidayList[Date],0))),(VLOOKUP(VLOOKUP(WEEKDAY(DATE($A$2,INT((COLUMN()-1)/31.001)+$A$1,ROUNDUP(MOD(COLUMN()-1,31.001),0)),2),Sheet3!$D$1:$E$7,2,0),$NW$21:$NX$35,2,0)="Yes"))</f>
        <v>1</v>
      </c>
      <c r="GH3" s="13" t="b">
        <f>AND(NOT(ISNUMBER(MATCH(DATE($A$2,INT((COLUMN()-1)/31.001)+$A$1,ROUNDUP(MOD(COLUMN()-1,31.001),0)),HolidayList[Date],0))),(VLOOKUP(VLOOKUP(WEEKDAY(DATE($A$2,INT((COLUMN()-1)/31.001)+$A$1,ROUNDUP(MOD(COLUMN()-1,31.001),0)),2),Sheet3!$D$1:$E$7,2,0),$NW$21:$NX$35,2,0)="Yes"))</f>
        <v>1</v>
      </c>
      <c r="GI3" s="13" t="b">
        <f>AND(NOT(ISNUMBER(MATCH(DATE($A$2,INT((COLUMN()-1)/31.001)+$A$1,ROUNDUP(MOD(COLUMN()-1,31.001),0)),HolidayList[Date],0))),(VLOOKUP(VLOOKUP(WEEKDAY(DATE($A$2,INT((COLUMN()-1)/31.001)+$A$1,ROUNDUP(MOD(COLUMN()-1,31.001),0)),2),Sheet3!$D$1:$E$7,2,0),$NW$21:$NX$35,2,0)="Yes"))</f>
        <v>1</v>
      </c>
      <c r="GJ3" s="13" t="b">
        <f>AND(NOT(ISNUMBER(MATCH(DATE($A$2,INT((COLUMN()-1)/31.001)+$A$1,ROUNDUP(MOD(COLUMN()-1,31.001),0)),HolidayList[Date],0))),(VLOOKUP(VLOOKUP(WEEKDAY(DATE($A$2,INT((COLUMN()-1)/31.001)+$A$1,ROUNDUP(MOD(COLUMN()-1,31.001),0)),2),Sheet3!$D$1:$E$7,2,0),$NW$21:$NX$35,2,0)="Yes"))</f>
        <v>0</v>
      </c>
      <c r="GK3" s="13" t="b">
        <f>AND(NOT(ISNUMBER(MATCH(DATE($A$2,INT((COLUMN()-1)/31.001)+$A$1,ROUNDUP(MOD(COLUMN()-1,31.001),0)),HolidayList[Date],0))),(VLOOKUP(VLOOKUP(WEEKDAY(DATE($A$2,INT((COLUMN()-1)/31.001)+$A$1,ROUNDUP(MOD(COLUMN()-1,31.001),0)),2),Sheet3!$D$1:$E$7,2,0),$NW$21:$NX$35,2,0)="Yes"))</f>
        <v>0</v>
      </c>
      <c r="GL3" s="13" t="b">
        <f>AND(NOT(ISNUMBER(MATCH(DATE($A$2,INT((COLUMN()-1)/31.001)+$A$1,ROUNDUP(MOD(COLUMN()-1,31.001),0)),HolidayList[Date],0))),(VLOOKUP(VLOOKUP(WEEKDAY(DATE($A$2,INT((COLUMN()-1)/31.001)+$A$1,ROUNDUP(MOD(COLUMN()-1,31.001),0)),2),Sheet3!$D$1:$E$7,2,0),$NW$21:$NX$35,2,0)="Yes"))</f>
        <v>1</v>
      </c>
      <c r="GM3" s="13" t="b">
        <f>AND(NOT(ISNUMBER(MATCH(DATE($A$2,INT((COLUMN()-1)/31.001)+$A$1,ROUNDUP(MOD(COLUMN()-1,31.001),0)),HolidayList[Date],0))),(VLOOKUP(VLOOKUP(WEEKDAY(DATE($A$2,INT((COLUMN()-1)/31.001)+$A$1,ROUNDUP(MOD(COLUMN()-1,31.001),0)),2),Sheet3!$D$1:$E$7,2,0),$NW$21:$NX$35,2,0)="Yes"))</f>
        <v>1</v>
      </c>
      <c r="GN3" s="13" t="b">
        <f>AND(NOT(ISNUMBER(MATCH(DATE($A$2,INT((COLUMN()-1)/31.001)+$A$1,ROUNDUP(MOD(COLUMN()-1,31.001),0)),HolidayList[Date],0))),(VLOOKUP(VLOOKUP(WEEKDAY(DATE($A$2,INT((COLUMN()-1)/31.001)+$A$1,ROUNDUP(MOD(COLUMN()-1,31.001),0)),2),Sheet3!$D$1:$E$7,2,0),$NW$21:$NX$35,2,0)="Yes"))</f>
        <v>1</v>
      </c>
      <c r="GO3" s="13" t="b">
        <f>AND(NOT(ISNUMBER(MATCH(DATE($A$2,INT((COLUMN()-1)/31.001)+$A$1,ROUNDUP(MOD(COLUMN()-1,31.001),0)),HolidayList[Date],0))),(VLOOKUP(VLOOKUP(WEEKDAY(DATE($A$2,INT((COLUMN()-1)/31.001)+$A$1,ROUNDUP(MOD(COLUMN()-1,31.001),0)),2),Sheet3!$D$1:$E$7,2,0),$NW$21:$NX$35,2,0)="Yes"))</f>
        <v>1</v>
      </c>
      <c r="GP3" s="13" t="b">
        <f>AND(NOT(ISNUMBER(MATCH(DATE($A$2,INT((COLUMN()-1)/31.001)+$A$1,ROUNDUP(MOD(COLUMN()-1,31.001),0)),HolidayList[Date],0))),(VLOOKUP(VLOOKUP(WEEKDAY(DATE($A$2,INT((COLUMN()-1)/31.001)+$A$1,ROUNDUP(MOD(COLUMN()-1,31.001),0)),2),Sheet3!$D$1:$E$7,2,0),$NW$21:$NX$35,2,0)="Yes"))</f>
        <v>1</v>
      </c>
      <c r="GQ3" s="13" t="b">
        <f>AND(NOT(ISNUMBER(MATCH(DATE($A$2,INT((COLUMN()-1)/31.001)+$A$1,ROUNDUP(MOD(COLUMN()-1,31.001),0)),HolidayList[Date],0))),(VLOOKUP(VLOOKUP(WEEKDAY(DATE($A$2,INT((COLUMN()-1)/31.001)+$A$1,ROUNDUP(MOD(COLUMN()-1,31.001),0)),2),Sheet3!$D$1:$E$7,2,0),$NW$21:$NX$35,2,0)="Yes"))</f>
        <v>0</v>
      </c>
      <c r="GR3" s="13" t="b">
        <f>AND(NOT(ISNUMBER(MATCH(DATE($A$2,INT((COLUMN()-1)/31.001)+$A$1,ROUNDUP(MOD(COLUMN()-1,31.001),0)),HolidayList[Date],0))),(VLOOKUP(VLOOKUP(WEEKDAY(DATE($A$2,INT((COLUMN()-1)/31.001)+$A$1,ROUNDUP(MOD(COLUMN()-1,31.001),0)),2),Sheet3!$D$1:$E$7,2,0),$NW$21:$NX$35,2,0)="Yes"))</f>
        <v>0</v>
      </c>
      <c r="GS3" s="13" t="b">
        <f>AND(NOT(ISNUMBER(MATCH(DATE($A$2,INT((COLUMN()-1)/31.001)+$A$1,ROUNDUP(MOD(COLUMN()-1,31.001),0)),HolidayList[Date],0))),(VLOOKUP(VLOOKUP(WEEKDAY(DATE($A$2,INT((COLUMN()-1)/31.001)+$A$1,ROUNDUP(MOD(COLUMN()-1,31.001),0)),2),Sheet3!$D$1:$E$7,2,0),$NW$21:$NX$35,2,0)="Yes"))</f>
        <v>1</v>
      </c>
      <c r="GT3" s="13" t="b">
        <f>AND(NOT(ISNUMBER(MATCH(DATE($A$2,INT((COLUMN()-1)/31.001)+$A$1,ROUNDUP(MOD(COLUMN()-1,31.001),0)),HolidayList[Date],0))),(VLOOKUP(VLOOKUP(WEEKDAY(DATE($A$2,INT((COLUMN()-1)/31.001)+$A$1,ROUNDUP(MOD(COLUMN()-1,31.001),0)),2),Sheet3!$D$1:$E$7,2,0),$NW$21:$NX$35,2,0)="Yes"))</f>
        <v>1</v>
      </c>
      <c r="GU3" s="13" t="b">
        <f>AND(NOT(ISNUMBER(MATCH(DATE($A$2,INT((COLUMN()-1)/31.001)+$A$1,ROUNDUP(MOD(COLUMN()-1,31.001),0)),HolidayList[Date],0))),(VLOOKUP(VLOOKUP(WEEKDAY(DATE($A$2,INT((COLUMN()-1)/31.001)+$A$1,ROUNDUP(MOD(COLUMN()-1,31.001),0)),2),Sheet3!$D$1:$E$7,2,0),$NW$21:$NX$35,2,0)="Yes"))</f>
        <v>1</v>
      </c>
      <c r="GV3" s="13" t="b">
        <f>AND(NOT(ISNUMBER(MATCH(DATE($A$2,INT((COLUMN()-1)/31.001)+$A$1,ROUNDUP(MOD(COLUMN()-1,31.001),0)),HolidayList[Date],0))),(VLOOKUP(VLOOKUP(WEEKDAY(DATE($A$2,INT((COLUMN()-1)/31.001)+$A$1,ROUNDUP(MOD(COLUMN()-1,31.001),0)),2),Sheet3!$D$1:$E$7,2,0),$NW$21:$NX$35,2,0)="Yes"))</f>
        <v>1</v>
      </c>
      <c r="GW3" s="13" t="b">
        <f>AND(NOT(ISNUMBER(MATCH(DATE($A$2,INT((COLUMN()-1)/31.001)+$A$1,ROUNDUP(MOD(COLUMN()-1,31.001),0)),HolidayList[Date],0))),(VLOOKUP(VLOOKUP(WEEKDAY(DATE($A$2,INT((COLUMN()-1)/31.001)+$A$1,ROUNDUP(MOD(COLUMN()-1,31.001),0)),2),Sheet3!$D$1:$E$7,2,0),$NW$21:$NX$35,2,0)="Yes"))</f>
        <v>1</v>
      </c>
      <c r="GX3" s="13" t="b">
        <f>AND(NOT(ISNUMBER(MATCH(DATE($A$2,INT((COLUMN()-1)/31.001)+$A$1,ROUNDUP(MOD(COLUMN()-1,31.001),0)),HolidayList[Date],0))),(VLOOKUP(VLOOKUP(WEEKDAY(DATE($A$2,INT((COLUMN()-1)/31.001)+$A$1,ROUNDUP(MOD(COLUMN()-1,31.001),0)),2),Sheet3!$D$1:$E$7,2,0),$NW$21:$NX$35,2,0)="Yes"))</f>
        <v>0</v>
      </c>
      <c r="GY3" s="13" t="b">
        <f>AND(NOT(ISNUMBER(MATCH(DATE($A$2,INT((COLUMN()-1)/31.001)+$A$1,ROUNDUP(MOD(COLUMN()-1,31.001),0)),HolidayList[Date],0))),(VLOOKUP(VLOOKUP(WEEKDAY(DATE($A$2,INT((COLUMN()-1)/31.001)+$A$1,ROUNDUP(MOD(COLUMN()-1,31.001),0)),2),Sheet3!$D$1:$E$7,2,0),$NW$21:$NX$35,2,0)="Yes"))</f>
        <v>0</v>
      </c>
      <c r="GZ3" s="13" t="b">
        <f>AND(NOT(ISNUMBER(MATCH(DATE($A$2,INT((COLUMN()-1)/31.001)+$A$1,ROUNDUP(MOD(COLUMN()-1,31.001),0)),HolidayList[Date],0))),(VLOOKUP(VLOOKUP(WEEKDAY(DATE($A$2,INT((COLUMN()-1)/31.001)+$A$1,ROUNDUP(MOD(COLUMN()-1,31.001),0)),2),Sheet3!$D$1:$E$7,2,0),$NW$21:$NX$35,2,0)="Yes"))</f>
        <v>1</v>
      </c>
      <c r="HA3" s="13" t="b">
        <f>AND(NOT(ISNUMBER(MATCH(DATE($A$2,INT((COLUMN()-1)/31.001)+$A$1,ROUNDUP(MOD(COLUMN()-1,31.001),0)),HolidayList[Date],0))),(VLOOKUP(VLOOKUP(WEEKDAY(DATE($A$2,INT((COLUMN()-1)/31.001)+$A$1,ROUNDUP(MOD(COLUMN()-1,31.001),0)),2),Sheet3!$D$1:$E$7,2,0),$NW$21:$NX$35,2,0)="Yes"))</f>
        <v>1</v>
      </c>
      <c r="HB3" s="13" t="b">
        <f>AND(NOT(ISNUMBER(MATCH(DATE($A$2,INT((COLUMN()-1)/31.001)+$A$1,ROUNDUP(MOD(COLUMN()-1,31.001),0)),HolidayList[Date],0))),(VLOOKUP(VLOOKUP(WEEKDAY(DATE($A$2,INT((COLUMN()-1)/31.001)+$A$1,ROUNDUP(MOD(COLUMN()-1,31.001),0)),2),Sheet3!$D$1:$E$7,2,0),$NW$21:$NX$35,2,0)="Yes"))</f>
        <v>1</v>
      </c>
      <c r="HC3" s="13" t="b">
        <f>AND(NOT(ISNUMBER(MATCH(DATE($A$2,INT((COLUMN()-1)/31.001)+$A$1,ROUNDUP(MOD(COLUMN()-1,31.001),0)),HolidayList[Date],0))),(VLOOKUP(VLOOKUP(WEEKDAY(DATE($A$2,INT((COLUMN()-1)/31.001)+$A$1,ROUNDUP(MOD(COLUMN()-1,31.001),0)),2),Sheet3!$D$1:$E$7,2,0),$NW$21:$NX$35,2,0)="Yes"))</f>
        <v>1</v>
      </c>
      <c r="HD3" s="13" t="b">
        <f>AND(NOT(ISNUMBER(MATCH(DATE($A$2,INT((COLUMN()-1)/31.001)+$A$1,ROUNDUP(MOD(COLUMN()-1,31.001),0)),HolidayList[Date],0))),(VLOOKUP(VLOOKUP(WEEKDAY(DATE($A$2,INT((COLUMN()-1)/31.001)+$A$1,ROUNDUP(MOD(COLUMN()-1,31.001),0)),2),Sheet3!$D$1:$E$7,2,0),$NW$21:$NX$35,2,0)="Yes"))</f>
        <v>1</v>
      </c>
      <c r="HE3" s="13" t="b">
        <f>AND(NOT(ISNUMBER(MATCH(DATE($A$2,INT((COLUMN()-1)/31.001)+$A$1,ROUNDUP(MOD(COLUMN()-1,31.001),0)),HolidayList[Date],0))),(VLOOKUP(VLOOKUP(WEEKDAY(DATE($A$2,INT((COLUMN()-1)/31.001)+$A$1,ROUNDUP(MOD(COLUMN()-1,31.001),0)),2),Sheet3!$D$1:$E$7,2,0),$NW$21:$NX$35,2,0)="Yes"))</f>
        <v>0</v>
      </c>
      <c r="HF3" s="13" t="b">
        <f>AND(NOT(ISNUMBER(MATCH(DATE($A$2,INT((COLUMN()-1)/31.001)+$A$1,ROUNDUP(MOD(COLUMN()-1,31.001),0)),HolidayList[Date],0))),(VLOOKUP(VLOOKUP(WEEKDAY(DATE($A$2,INT((COLUMN()-1)/31.001)+$A$1,ROUNDUP(MOD(COLUMN()-1,31.001),0)),2),Sheet3!$D$1:$E$7,2,0),$NW$21:$NX$35,2,0)="Yes"))</f>
        <v>0</v>
      </c>
      <c r="HG3" s="13" t="b">
        <f>AND(NOT(ISNUMBER(MATCH(DATE($A$2,INT((COLUMN()-1)/31.001)+$A$1,ROUNDUP(MOD(COLUMN()-1,31.001),0)),HolidayList[Date],0))),(VLOOKUP(VLOOKUP(WEEKDAY(DATE($A$2,INT((COLUMN()-1)/31.001)+$A$1,ROUNDUP(MOD(COLUMN()-1,31.001),0)),2),Sheet3!$D$1:$E$7,2,0),$NW$21:$NX$35,2,0)="Yes"))</f>
        <v>1</v>
      </c>
      <c r="HH3" s="13" t="b">
        <f>AND(NOT(ISNUMBER(MATCH(DATE($A$2,INT((COLUMN()-1)/31.001)+$A$1,ROUNDUP(MOD(COLUMN()-1,31.001),0)),HolidayList[Date],0))),(VLOOKUP(VLOOKUP(WEEKDAY(DATE($A$2,INT((COLUMN()-1)/31.001)+$A$1,ROUNDUP(MOD(COLUMN()-1,31.001),0)),2),Sheet3!$D$1:$E$7,2,0),$NW$21:$NX$35,2,0)="Yes"))</f>
        <v>1</v>
      </c>
      <c r="HI3" s="13" t="b">
        <f>AND(NOT(ISNUMBER(MATCH(DATE($A$2,INT((COLUMN()-1)/31.001)+$A$1,ROUNDUP(MOD(COLUMN()-1,31.001),0)),HolidayList[Date],0))),(VLOOKUP(VLOOKUP(WEEKDAY(DATE($A$2,INT((COLUMN()-1)/31.001)+$A$1,ROUNDUP(MOD(COLUMN()-1,31.001),0)),2),Sheet3!$D$1:$E$7,2,0),$NW$21:$NX$35,2,0)="Yes"))</f>
        <v>1</v>
      </c>
      <c r="HJ3" s="13" t="b">
        <f>AND(NOT(ISNUMBER(MATCH(DATE($A$2,INT((COLUMN()-1)/31.001)+$A$1,ROUNDUP(MOD(COLUMN()-1,31.001),0)),HolidayList[Date],0))),(VLOOKUP(VLOOKUP(WEEKDAY(DATE($A$2,INT((COLUMN()-1)/31.001)+$A$1,ROUNDUP(MOD(COLUMN()-1,31.001),0)),2),Sheet3!$D$1:$E$7,2,0),$NW$21:$NX$35,2,0)="Yes"))</f>
        <v>1</v>
      </c>
      <c r="HK3" s="13" t="b">
        <f>AND(NOT(ISNUMBER(MATCH(DATE($A$2,INT((COLUMN()-1)/31.001)+$A$1,ROUNDUP(MOD(COLUMN()-1,31.001),0)),HolidayList[Date],0))),(VLOOKUP(VLOOKUP(WEEKDAY(DATE($A$2,INT((COLUMN()-1)/31.001)+$A$1,ROUNDUP(MOD(COLUMN()-1,31.001),0)),2),Sheet3!$D$1:$E$7,2,0),$NW$21:$NX$35,2,0)="Yes"))</f>
        <v>1</v>
      </c>
      <c r="HL3" s="13" t="b">
        <f>AND(NOT(ISNUMBER(MATCH(DATE($A$2,INT((COLUMN()-1)/31.001)+$A$1,ROUNDUP(MOD(COLUMN()-1,31.001),0)),HolidayList[Date],0))),(VLOOKUP(VLOOKUP(WEEKDAY(DATE($A$2,INT((COLUMN()-1)/31.001)+$A$1,ROUNDUP(MOD(COLUMN()-1,31.001),0)),2),Sheet3!$D$1:$E$7,2,0),$NW$21:$NX$35,2,0)="Yes"))</f>
        <v>0</v>
      </c>
      <c r="HM3" s="13" t="b">
        <f>AND(NOT(ISNUMBER(MATCH(DATE($A$2,INT((COLUMN()-1)/31.001)+$A$1,ROUNDUP(MOD(COLUMN()-1,31.001),0)),HolidayList[Date],0))),(VLOOKUP(VLOOKUP(WEEKDAY(DATE($A$2,INT((COLUMN()-1)/31.001)+$A$1,ROUNDUP(MOD(COLUMN()-1,31.001),0)),2),Sheet3!$D$1:$E$7,2,0),$NW$21:$NX$35,2,0)="Yes"))</f>
        <v>0</v>
      </c>
      <c r="HN3" s="13" t="b">
        <f>AND(NOT(ISNUMBER(MATCH(DATE($A$2,INT((COLUMN()-1)/31.001)+$A$1,ROUNDUP(MOD(COLUMN()-1,31.001),0)),HolidayList[Date],0))),(VLOOKUP(VLOOKUP(WEEKDAY(DATE($A$2,INT((COLUMN()-1)/31.001)+$A$1,ROUNDUP(MOD(COLUMN()-1,31.001),0)),2),Sheet3!$D$1:$E$7,2,0),$NW$21:$NX$35,2,0)="Yes"))</f>
        <v>1</v>
      </c>
      <c r="HO3" s="13" t="b">
        <f>AND(NOT(ISNUMBER(MATCH(DATE($A$2,INT((COLUMN()-1)/31.001)+$A$1,ROUNDUP(MOD(COLUMN()-1,31.001),0)),HolidayList[Date],0))),(VLOOKUP(VLOOKUP(WEEKDAY(DATE($A$2,INT((COLUMN()-1)/31.001)+$A$1,ROUNDUP(MOD(COLUMN()-1,31.001),0)),2),Sheet3!$D$1:$E$7,2,0),$NW$21:$NX$35,2,0)="Yes"))</f>
        <v>1</v>
      </c>
      <c r="HP3" s="13" t="b">
        <f>AND(NOT(ISNUMBER(MATCH(DATE($A$2,INT((COLUMN()-1)/31.001)+$A$1,ROUNDUP(MOD(COLUMN()-1,31.001),0)),HolidayList[Date],0))),(VLOOKUP(VLOOKUP(WEEKDAY(DATE($A$2,INT((COLUMN()-1)/31.001)+$A$1,ROUNDUP(MOD(COLUMN()-1,31.001),0)),2),Sheet3!$D$1:$E$7,2,0),$NW$21:$NX$35,2,0)="Yes"))</f>
        <v>1</v>
      </c>
      <c r="HQ3" s="13" t="b">
        <f>AND(NOT(ISNUMBER(MATCH(DATE($A$2,INT((COLUMN()-1)/31.001)+$A$1,ROUNDUP(MOD(COLUMN()-1,31.001),0)),HolidayList[Date],0))),(VLOOKUP(VLOOKUP(WEEKDAY(DATE($A$2,INT((COLUMN()-1)/31.001)+$A$1,ROUNDUP(MOD(COLUMN()-1,31.001),0)),2),Sheet3!$D$1:$E$7,2,0),$NW$21:$NX$35,2,0)="Yes"))</f>
        <v>1</v>
      </c>
      <c r="HR3" s="13" t="b">
        <f>AND(NOT(ISNUMBER(MATCH(DATE($A$2,INT((COLUMN()-1)/31.001)+$A$1,ROUNDUP(MOD(COLUMN()-1,31.001),0)),HolidayList[Date],0))),(VLOOKUP(VLOOKUP(WEEKDAY(DATE($A$2,INT((COLUMN()-1)/31.001)+$A$1,ROUNDUP(MOD(COLUMN()-1,31.001),0)),2),Sheet3!$D$1:$E$7,2,0),$NW$21:$NX$35,2,0)="Yes"))</f>
        <v>1</v>
      </c>
      <c r="HS3" s="13" t="b">
        <f>AND(NOT(ISNUMBER(MATCH(DATE($A$2,INT((COLUMN()-1)/31.001)+$A$1,ROUNDUP(MOD(COLUMN()-1,31.001),0)),HolidayList[Date],0))),(VLOOKUP(VLOOKUP(WEEKDAY(DATE($A$2,INT((COLUMN()-1)/31.001)+$A$1,ROUNDUP(MOD(COLUMN()-1,31.001),0)),2),Sheet3!$D$1:$E$7,2,0),$NW$21:$NX$35,2,0)="Yes"))</f>
        <v>0</v>
      </c>
      <c r="HT3" s="13" t="b">
        <f>AND(NOT(ISNUMBER(MATCH(DATE($A$2,INT((COLUMN()-1)/31.001)+$A$1,ROUNDUP(MOD(COLUMN()-1,31.001),0)),HolidayList[Date],0))),(VLOOKUP(VLOOKUP(WEEKDAY(DATE($A$2,INT((COLUMN()-1)/31.001)+$A$1,ROUNDUP(MOD(COLUMN()-1,31.001),0)),2),Sheet3!$D$1:$E$7,2,0),$NW$21:$NX$35,2,0)="Yes"))</f>
        <v>0</v>
      </c>
      <c r="HU3" s="13" t="b">
        <f>AND(NOT(ISNUMBER(MATCH(DATE($A$2,INT((COLUMN()-1)/31.001)+$A$1,ROUNDUP(MOD(COLUMN()-1,31.001),0)),HolidayList[Date],0))),(VLOOKUP(VLOOKUP(WEEKDAY(DATE($A$2,INT((COLUMN()-1)/31.001)+$A$1,ROUNDUP(MOD(COLUMN()-1,31.001),0)),2),Sheet3!$D$1:$E$7,2,0),$NW$21:$NX$35,2,0)="Yes"))</f>
        <v>1</v>
      </c>
      <c r="HV3" s="13" t="b">
        <f>AND(NOT(ISNUMBER(MATCH(DATE($A$2,INT((COLUMN()-1)/31.001)+$A$1,ROUNDUP(MOD(COLUMN()-1,31.001),0)),HolidayList[Date],0))),(VLOOKUP(VLOOKUP(WEEKDAY(DATE($A$2,INT((COLUMN()-1)/31.001)+$A$1,ROUNDUP(MOD(COLUMN()-1,31.001),0)),2),Sheet3!$D$1:$E$7,2,0),$NW$21:$NX$35,2,0)="Yes"))</f>
        <v>1</v>
      </c>
      <c r="HW3" s="13" t="b">
        <f>AND(NOT(ISNUMBER(MATCH(DATE($A$2,INT((COLUMN()-1)/31.001)+$A$1,ROUNDUP(MOD(COLUMN()-1,31.001),0)),HolidayList[Date],0))),(VLOOKUP(VLOOKUP(WEEKDAY(DATE($A$2,INT((COLUMN()-1)/31.001)+$A$1,ROUNDUP(MOD(COLUMN()-1,31.001),0)),2),Sheet3!$D$1:$E$7,2,0),$NW$21:$NX$35,2,0)="Yes"))</f>
        <v>1</v>
      </c>
      <c r="HX3" s="13" t="b">
        <f>AND(NOT(ISNUMBER(MATCH(DATE($A$2,INT((COLUMN()-1)/31.001)+$A$1,ROUNDUP(MOD(COLUMN()-1,31.001),0)),HolidayList[Date],0))),(VLOOKUP(VLOOKUP(WEEKDAY(DATE($A$2,INT((COLUMN()-1)/31.001)+$A$1,ROUNDUP(MOD(COLUMN()-1,31.001),0)),2),Sheet3!$D$1:$E$7,2,0),$NW$21:$NX$35,2,0)="Yes"))</f>
        <v>1</v>
      </c>
      <c r="HY3" s="13" t="b">
        <f>AND(NOT(ISNUMBER(MATCH(DATE($A$2,INT((COLUMN()-1)/31.001)+$A$1,ROUNDUP(MOD(COLUMN()-1,31.001),0)),HolidayList[Date],0))),(VLOOKUP(VLOOKUP(WEEKDAY(DATE($A$2,INT((COLUMN()-1)/31.001)+$A$1,ROUNDUP(MOD(COLUMN()-1,31.001),0)),2),Sheet3!$D$1:$E$7,2,0),$NW$21:$NX$35,2,0)="Yes"))</f>
        <v>1</v>
      </c>
      <c r="HZ3" s="13" t="b">
        <f>AND(NOT(ISNUMBER(MATCH(DATE($A$2,INT((COLUMN()-1)/31.001)+$A$1,ROUNDUP(MOD(COLUMN()-1,31.001),0)),HolidayList[Date],0))),(VLOOKUP(VLOOKUP(WEEKDAY(DATE($A$2,INT((COLUMN()-1)/31.001)+$A$1,ROUNDUP(MOD(COLUMN()-1,31.001),0)),2),Sheet3!$D$1:$E$7,2,0),$NW$21:$NX$35,2,0)="Yes"))</f>
        <v>0</v>
      </c>
      <c r="IA3" s="13" t="b">
        <f>AND(NOT(ISNUMBER(MATCH(DATE($A$2,INT((COLUMN()-1)/31.001)+$A$1,ROUNDUP(MOD(COLUMN()-1,31.001),0)),HolidayList[Date],0))),(VLOOKUP(VLOOKUP(WEEKDAY(DATE($A$2,INT((COLUMN()-1)/31.001)+$A$1,ROUNDUP(MOD(COLUMN()-1,31.001),0)),2),Sheet3!$D$1:$E$7,2,0),$NW$21:$NX$35,2,0)="Yes"))</f>
        <v>0</v>
      </c>
      <c r="IB3" s="13" t="b">
        <f>AND(NOT(ISNUMBER(MATCH(DATE($A$2,INT((COLUMN()-1)/31.001)+$A$1,ROUNDUP(MOD(COLUMN()-1,31.001),0)),HolidayList[Date],0))),(VLOOKUP(VLOOKUP(WEEKDAY(DATE($A$2,INT((COLUMN()-1)/31.001)+$A$1,ROUNDUP(MOD(COLUMN()-1,31.001),0)),2),Sheet3!$D$1:$E$7,2,0),$NW$21:$NX$35,2,0)="Yes"))</f>
        <v>1</v>
      </c>
      <c r="IC3" s="13" t="b">
        <f>AND(NOT(ISNUMBER(MATCH(DATE($A$2,INT((COLUMN()-1)/31.001)+$A$1,ROUNDUP(MOD(COLUMN()-1,31.001),0)),HolidayList[Date],0))),(VLOOKUP(VLOOKUP(WEEKDAY(DATE($A$2,INT((COLUMN()-1)/31.001)+$A$1,ROUNDUP(MOD(COLUMN()-1,31.001),0)),2),Sheet3!$D$1:$E$7,2,0),$NW$21:$NX$35,2,0)="Yes"))</f>
        <v>1</v>
      </c>
      <c r="ID3" s="13" t="b">
        <f>AND(NOT(ISNUMBER(MATCH(DATE($A$2,INT((COLUMN()-1)/31.001)+$A$1,ROUNDUP(MOD(COLUMN()-1,31.001),0)),HolidayList[Date],0))),(VLOOKUP(VLOOKUP(WEEKDAY(DATE($A$2,INT((COLUMN()-1)/31.001)+$A$1,ROUNDUP(MOD(COLUMN()-1,31.001),0)),2),Sheet3!$D$1:$E$7,2,0),$NW$21:$NX$35,2,0)="Yes"))</f>
        <v>1</v>
      </c>
      <c r="IE3" s="13" t="b">
        <f>AND(NOT(ISNUMBER(MATCH(DATE($A$2,INT((COLUMN()-1)/31.001)+$A$1,ROUNDUP(MOD(COLUMN()-1,31.001),0)),HolidayList[Date],0))),(VLOOKUP(VLOOKUP(WEEKDAY(DATE($A$2,INT((COLUMN()-1)/31.001)+$A$1,ROUNDUP(MOD(COLUMN()-1,31.001),0)),2),Sheet3!$D$1:$E$7,2,0),$NW$21:$NX$35,2,0)="Yes"))</f>
        <v>1</v>
      </c>
      <c r="IF3" s="13" t="b">
        <f>AND(NOT(ISNUMBER(MATCH(DATE($A$2,INT((COLUMN()-1)/31.001)+$A$1,ROUNDUP(MOD(COLUMN()-1,31.001),0)),HolidayList[Date],0))),(VLOOKUP(VLOOKUP(WEEKDAY(DATE($A$2,INT((COLUMN()-1)/31.001)+$A$1,ROUNDUP(MOD(COLUMN()-1,31.001),0)),2),Sheet3!$D$1:$E$7,2,0),$NW$21:$NX$35,2,0)="Yes"))</f>
        <v>1</v>
      </c>
      <c r="IG3" s="13" t="b">
        <f>AND(NOT(ISNUMBER(MATCH(DATE($A$2,INT((COLUMN()-1)/31.001)+$A$1,ROUNDUP(MOD(COLUMN()-1,31.001),0)),HolidayList[Date],0))),(VLOOKUP(VLOOKUP(WEEKDAY(DATE($A$2,INT((COLUMN()-1)/31.001)+$A$1,ROUNDUP(MOD(COLUMN()-1,31.001),0)),2),Sheet3!$D$1:$E$7,2,0),$NW$21:$NX$35,2,0)="Yes"))</f>
        <v>0</v>
      </c>
      <c r="IH3" s="13" t="b">
        <f>AND(NOT(ISNUMBER(MATCH(DATE($A$2,INT((COLUMN()-1)/31.001)+$A$1,ROUNDUP(MOD(COLUMN()-1,31.001),0)),HolidayList[Date],0))),(VLOOKUP(VLOOKUP(WEEKDAY(DATE($A$2,INT((COLUMN()-1)/31.001)+$A$1,ROUNDUP(MOD(COLUMN()-1,31.001),0)),2),Sheet3!$D$1:$E$7,2,0),$NW$21:$NX$35,2,0)="Yes"))</f>
        <v>0</v>
      </c>
      <c r="II3" s="13" t="b">
        <f>AND(NOT(ISNUMBER(MATCH(DATE($A$2,INT((COLUMN()-1)/31.001)+$A$1,ROUNDUP(MOD(COLUMN()-1,31.001),0)),HolidayList[Date],0))),(VLOOKUP(VLOOKUP(WEEKDAY(DATE($A$2,INT((COLUMN()-1)/31.001)+$A$1,ROUNDUP(MOD(COLUMN()-1,31.001),0)),2),Sheet3!$D$1:$E$7,2,0),$NW$21:$NX$35,2,0)="Yes"))</f>
        <v>1</v>
      </c>
      <c r="IJ3" s="13" t="b">
        <f>AND(NOT(ISNUMBER(MATCH(DATE($A$2,INT((COLUMN()-1)/31.001)+$A$1,ROUNDUP(MOD(COLUMN()-1,31.001),0)),HolidayList[Date],0))),(VLOOKUP(VLOOKUP(WEEKDAY(DATE($A$2,INT((COLUMN()-1)/31.001)+$A$1,ROUNDUP(MOD(COLUMN()-1,31.001),0)),2),Sheet3!$D$1:$E$7,2,0),$NW$21:$NX$35,2,0)="Yes"))</f>
        <v>1</v>
      </c>
      <c r="IK3" s="13" t="b">
        <f>AND(NOT(ISNUMBER(MATCH(DATE($A$2,INT((COLUMN()-1)/31.001)+$A$1,ROUNDUP(MOD(COLUMN()-1,31.001),0)),HolidayList[Date],0))),(VLOOKUP(VLOOKUP(WEEKDAY(DATE($A$2,INT((COLUMN()-1)/31.001)+$A$1,ROUNDUP(MOD(COLUMN()-1,31.001),0)),2),Sheet3!$D$1:$E$7,2,0),$NW$21:$NX$35,2,0)="Yes"))</f>
        <v>1</v>
      </c>
      <c r="IL3" s="13" t="b">
        <f>AND(NOT(ISNUMBER(MATCH(DATE($A$2,INT((COLUMN()-1)/31.001)+$A$1,ROUNDUP(MOD(COLUMN()-1,31.001),0)),HolidayList[Date],0))),(VLOOKUP(VLOOKUP(WEEKDAY(DATE($A$2,INT((COLUMN()-1)/31.001)+$A$1,ROUNDUP(MOD(COLUMN()-1,31.001),0)),2),Sheet3!$D$1:$E$7,2,0),$NW$21:$NX$35,2,0)="Yes"))</f>
        <v>1</v>
      </c>
      <c r="IM3" s="13" t="b">
        <f>AND(NOT(ISNUMBER(MATCH(DATE($A$2,INT((COLUMN()-1)/31.001)+$A$1,ROUNDUP(MOD(COLUMN()-1,31.001),0)),HolidayList[Date],0))),(VLOOKUP(VLOOKUP(WEEKDAY(DATE($A$2,INT((COLUMN()-1)/31.001)+$A$1,ROUNDUP(MOD(COLUMN()-1,31.001),0)),2),Sheet3!$D$1:$E$7,2,0),$NW$21:$NX$35,2,0)="Yes"))</f>
        <v>1</v>
      </c>
      <c r="IN3" s="13" t="b">
        <f>AND(NOT(ISNUMBER(MATCH(DATE($A$2,INT((COLUMN()-1)/31.001)+$A$1,ROUNDUP(MOD(COLUMN()-1,31.001),0)),HolidayList[Date],0))),(VLOOKUP(VLOOKUP(WEEKDAY(DATE($A$2,INT((COLUMN()-1)/31.001)+$A$1,ROUNDUP(MOD(COLUMN()-1,31.001),0)),2),Sheet3!$D$1:$E$7,2,0),$NW$21:$NX$35,2,0)="Yes"))</f>
        <v>0</v>
      </c>
      <c r="IO3" s="13" t="b">
        <f>AND(NOT(ISNUMBER(MATCH(DATE($A$2,INT((COLUMN()-1)/31.001)+$A$1,ROUNDUP(MOD(COLUMN()-1,31.001),0)),HolidayList[Date],0))),(VLOOKUP(VLOOKUP(WEEKDAY(DATE($A$2,INT((COLUMN()-1)/31.001)+$A$1,ROUNDUP(MOD(COLUMN()-1,31.001),0)),2),Sheet3!$D$1:$E$7,2,0),$NW$21:$NX$35,2,0)="Yes"))</f>
        <v>0</v>
      </c>
      <c r="IP3" s="13" t="b">
        <f>AND(NOT(ISNUMBER(MATCH(DATE($A$2,INT((COLUMN()-1)/31.001)+$A$1,ROUNDUP(MOD(COLUMN()-1,31.001),0)),HolidayList[Date],0))),(VLOOKUP(VLOOKUP(WEEKDAY(DATE($A$2,INT((COLUMN()-1)/31.001)+$A$1,ROUNDUP(MOD(COLUMN()-1,31.001),0)),2),Sheet3!$D$1:$E$7,2,0),$NW$21:$NX$35,2,0)="Yes"))</f>
        <v>1</v>
      </c>
      <c r="IQ3" s="13" t="b">
        <f>AND(NOT(ISNUMBER(MATCH(DATE($A$2,INT((COLUMN()-1)/31.001)+$A$1,ROUNDUP(MOD(COLUMN()-1,31.001),0)),HolidayList[Date],0))),(VLOOKUP(VLOOKUP(WEEKDAY(DATE($A$2,INT((COLUMN()-1)/31.001)+$A$1,ROUNDUP(MOD(COLUMN()-1,31.001),0)),2),Sheet3!$D$1:$E$7,2,0),$NW$21:$NX$35,2,0)="Yes"))</f>
        <v>1</v>
      </c>
      <c r="IR3" s="13" t="b">
        <f>AND(NOT(ISNUMBER(MATCH(DATE($A$2,INT((COLUMN()-1)/31.001)+$A$1,ROUNDUP(MOD(COLUMN()-1,31.001),0)),HolidayList[Date],0))),(VLOOKUP(VLOOKUP(WEEKDAY(DATE($A$2,INT((COLUMN()-1)/31.001)+$A$1,ROUNDUP(MOD(COLUMN()-1,31.001),0)),2),Sheet3!$D$1:$E$7,2,0),$NW$21:$NX$35,2,0)="Yes"))</f>
        <v>1</v>
      </c>
      <c r="IS3" s="13" t="b">
        <f>AND(NOT(ISNUMBER(MATCH(DATE($A$2,INT((COLUMN()-1)/31.001)+$A$1,ROUNDUP(MOD(COLUMN()-1,31.001),0)),HolidayList[Date],0))),(VLOOKUP(VLOOKUP(WEEKDAY(DATE($A$2,INT((COLUMN()-1)/31.001)+$A$1,ROUNDUP(MOD(COLUMN()-1,31.001),0)),2),Sheet3!$D$1:$E$7,2,0),$NW$21:$NX$35,2,0)="Yes"))</f>
        <v>1</v>
      </c>
      <c r="IT3" s="13" t="b">
        <f>AND(NOT(ISNUMBER(MATCH(DATE($A$2,INT((COLUMN()-1)/31.001)+$A$1,ROUNDUP(MOD(COLUMN()-1,31.001),0)),HolidayList[Date],0))),(VLOOKUP(VLOOKUP(WEEKDAY(DATE($A$2,INT((COLUMN()-1)/31.001)+$A$1,ROUNDUP(MOD(COLUMN()-1,31.001),0)),2),Sheet3!$D$1:$E$7,2,0),$NW$21:$NX$35,2,0)="Yes"))</f>
        <v>1</v>
      </c>
      <c r="IU3" s="13" t="b">
        <f>AND(NOT(ISNUMBER(MATCH(DATE($A$2,INT((COLUMN()-1)/31.001)+$A$1,ROUNDUP(MOD(COLUMN()-1,31.001),0)),HolidayList[Date],0))),(VLOOKUP(VLOOKUP(WEEKDAY(DATE($A$2,INT((COLUMN()-1)/31.001)+$A$1,ROUNDUP(MOD(COLUMN()-1,31.001),0)),2),Sheet3!$D$1:$E$7,2,0),$NW$21:$NX$35,2,0)="Yes"))</f>
        <v>0</v>
      </c>
      <c r="IV3" s="13" t="b">
        <f>AND(NOT(ISNUMBER(MATCH(DATE($A$2,INT((COLUMN()-1)/31.001)+$A$1,ROUNDUP(MOD(COLUMN()-1,31.001),0)),HolidayList[Date],0))),(VLOOKUP(VLOOKUP(WEEKDAY(DATE($A$2,INT((COLUMN()-1)/31.001)+$A$1,ROUNDUP(MOD(COLUMN()-1,31.001),0)),2),Sheet3!$D$1:$E$7,2,0),$NW$21:$NX$35,2,0)="Yes"))</f>
        <v>0</v>
      </c>
      <c r="IW3" s="13" t="b">
        <f>AND(NOT(ISNUMBER(MATCH(DATE($A$2,INT((COLUMN()-1)/31.001)+$A$1,ROUNDUP(MOD(COLUMN()-1,31.001),0)),HolidayList[Date],0))),(VLOOKUP(VLOOKUP(WEEKDAY(DATE($A$2,INT((COLUMN()-1)/31.001)+$A$1,ROUNDUP(MOD(COLUMN()-1,31.001),0)),2),Sheet3!$D$1:$E$7,2,0),$NW$21:$NX$35,2,0)="Yes"))</f>
        <v>1</v>
      </c>
      <c r="IX3" s="13" t="b">
        <f>AND(NOT(ISNUMBER(MATCH(DATE($A$2,INT((COLUMN()-1)/31.001)+$A$1,ROUNDUP(MOD(COLUMN()-1,31.001),0)),HolidayList[Date],0))),(VLOOKUP(VLOOKUP(WEEKDAY(DATE($A$2,INT((COLUMN()-1)/31.001)+$A$1,ROUNDUP(MOD(COLUMN()-1,31.001),0)),2),Sheet3!$D$1:$E$7,2,0),$NW$21:$NX$35,2,0)="Yes"))</f>
        <v>1</v>
      </c>
      <c r="IY3" s="13" t="b">
        <f>AND(NOT(ISNUMBER(MATCH(DATE($A$2,INT((COLUMN()-1)/31.001)+$A$1,ROUNDUP(MOD(COLUMN()-1,31.001),0)),HolidayList[Date],0))),(VLOOKUP(VLOOKUP(WEEKDAY(DATE($A$2,INT((COLUMN()-1)/31.001)+$A$1,ROUNDUP(MOD(COLUMN()-1,31.001),0)),2),Sheet3!$D$1:$E$7,2,0),$NW$21:$NX$35,2,0)="Yes"))</f>
        <v>1</v>
      </c>
      <c r="IZ3" s="13" t="b">
        <f>AND(NOT(ISNUMBER(MATCH(DATE($A$2,INT((COLUMN()-1)/31.001)+$A$1,ROUNDUP(MOD(COLUMN()-1,31.001),0)),HolidayList[Date],0))),(VLOOKUP(VLOOKUP(WEEKDAY(DATE($A$2,INT((COLUMN()-1)/31.001)+$A$1,ROUNDUP(MOD(COLUMN()-1,31.001),0)),2),Sheet3!$D$1:$E$7,2,0),$NW$21:$NX$35,2,0)="Yes"))</f>
        <v>1</v>
      </c>
      <c r="JA3" s="13" t="b">
        <f>AND(NOT(ISNUMBER(MATCH(DATE($A$2,INT((COLUMN()-1)/31.001)+$A$1,ROUNDUP(MOD(COLUMN()-1,31.001),0)),HolidayList[Date],0))),(VLOOKUP(VLOOKUP(WEEKDAY(DATE($A$2,INT((COLUMN()-1)/31.001)+$A$1,ROUNDUP(MOD(COLUMN()-1,31.001),0)),2),Sheet3!$D$1:$E$7,2,0),$NW$21:$NX$35,2,0)="Yes"))</f>
        <v>1</v>
      </c>
      <c r="JB3" s="13" t="b">
        <f>AND(NOT(ISNUMBER(MATCH(DATE($A$2,INT((COLUMN()-1)/31.001)+$A$1,ROUNDUP(MOD(COLUMN()-1,31.001),0)),HolidayList[Date],0))),(VLOOKUP(VLOOKUP(WEEKDAY(DATE($A$2,INT((COLUMN()-1)/31.001)+$A$1,ROUNDUP(MOD(COLUMN()-1,31.001),0)),2),Sheet3!$D$1:$E$7,2,0),$NW$21:$NX$35,2,0)="Yes"))</f>
        <v>0</v>
      </c>
      <c r="JC3" s="13" t="b">
        <f>AND(NOT(ISNUMBER(MATCH(DATE($A$2,INT((COLUMN()-1)/31.001)+$A$1,ROUNDUP(MOD(COLUMN()-1,31.001),0)),HolidayList[Date],0))),(VLOOKUP(VLOOKUP(WEEKDAY(DATE($A$2,INT((COLUMN()-1)/31.001)+$A$1,ROUNDUP(MOD(COLUMN()-1,31.001),0)),2),Sheet3!$D$1:$E$7,2,0),$NW$21:$NX$35,2,0)="Yes"))</f>
        <v>0</v>
      </c>
      <c r="JD3" s="13" t="b">
        <f>AND(NOT(ISNUMBER(MATCH(DATE($A$2,INT((COLUMN()-1)/31.001)+$A$1,ROUNDUP(MOD(COLUMN()-1,31.001),0)),HolidayList[Date],0))),(VLOOKUP(VLOOKUP(WEEKDAY(DATE($A$2,INT((COLUMN()-1)/31.001)+$A$1,ROUNDUP(MOD(COLUMN()-1,31.001),0)),2),Sheet3!$D$1:$E$7,2,0),$NW$21:$NX$35,2,0)="Yes"))</f>
        <v>1</v>
      </c>
      <c r="JE3" s="13" t="b">
        <f>AND(NOT(ISNUMBER(MATCH(DATE($A$2,INT((COLUMN()-1)/31.001)+$A$1,ROUNDUP(MOD(COLUMN()-1,31.001),0)),HolidayList[Date],0))),(VLOOKUP(VLOOKUP(WEEKDAY(DATE($A$2,INT((COLUMN()-1)/31.001)+$A$1,ROUNDUP(MOD(COLUMN()-1,31.001),0)),2),Sheet3!$D$1:$E$7,2,0),$NW$21:$NX$35,2,0)="Yes"))</f>
        <v>1</v>
      </c>
      <c r="JF3" s="13" t="b">
        <f>AND(NOT(ISNUMBER(MATCH(DATE($A$2,INT((COLUMN()-1)/31.001)+$A$1,ROUNDUP(MOD(COLUMN()-1,31.001),0)),HolidayList[Date],0))),(VLOOKUP(VLOOKUP(WEEKDAY(DATE($A$2,INT((COLUMN()-1)/31.001)+$A$1,ROUNDUP(MOD(COLUMN()-1,31.001),0)),2),Sheet3!$D$1:$E$7,2,0),$NW$21:$NX$35,2,0)="Yes"))</f>
        <v>1</v>
      </c>
      <c r="JG3" s="13" t="b">
        <f>AND(NOT(ISNUMBER(MATCH(DATE($A$2,INT((COLUMN()-1)/31.001)+$A$1,ROUNDUP(MOD(COLUMN()-1,31.001),0)),HolidayList[Date],0))),(VLOOKUP(VLOOKUP(WEEKDAY(DATE($A$2,INT((COLUMN()-1)/31.001)+$A$1,ROUNDUP(MOD(COLUMN()-1,31.001),0)),2),Sheet3!$D$1:$E$7,2,0),$NW$21:$NX$35,2,0)="Yes"))</f>
        <v>1</v>
      </c>
      <c r="JH3" s="13" t="b">
        <f>AND(NOT(ISNUMBER(MATCH(DATE($A$2,INT((COLUMN()-1)/31.001)+$A$1,ROUNDUP(MOD(COLUMN()-1,31.001),0)),HolidayList[Date],0))),(VLOOKUP(VLOOKUP(WEEKDAY(DATE($A$2,INT((COLUMN()-1)/31.001)+$A$1,ROUNDUP(MOD(COLUMN()-1,31.001),0)),2),Sheet3!$D$1:$E$7,2,0),$NW$21:$NX$35,2,0)="Yes"))</f>
        <v>1</v>
      </c>
      <c r="JI3" s="13" t="b">
        <f>AND(NOT(ISNUMBER(MATCH(DATE($A$2,INT((COLUMN()-1)/31.001)+$A$1,ROUNDUP(MOD(COLUMN()-1,31.001),0)),HolidayList[Date],0))),(VLOOKUP(VLOOKUP(WEEKDAY(DATE($A$2,INT((COLUMN()-1)/31.001)+$A$1,ROUNDUP(MOD(COLUMN()-1,31.001),0)),2),Sheet3!$D$1:$E$7,2,0),$NW$21:$NX$35,2,0)="Yes"))</f>
        <v>0</v>
      </c>
      <c r="JJ3" s="13" t="b">
        <f>AND(NOT(ISNUMBER(MATCH(DATE($A$2,INT((COLUMN()-1)/31.001)+$A$1,ROUNDUP(MOD(COLUMN()-1,31.001),0)),HolidayList[Date],0))),(VLOOKUP(VLOOKUP(WEEKDAY(DATE($A$2,INT((COLUMN()-1)/31.001)+$A$1,ROUNDUP(MOD(COLUMN()-1,31.001),0)),2),Sheet3!$D$1:$E$7,2,0),$NW$21:$NX$35,2,0)="Yes"))</f>
        <v>0</v>
      </c>
      <c r="JK3" s="13" t="b">
        <f>AND(NOT(ISNUMBER(MATCH(DATE($A$2,INT((COLUMN()-1)/31.001)+$A$1,ROUNDUP(MOD(COLUMN()-1,31.001),0)),HolidayList[Date],0))),(VLOOKUP(VLOOKUP(WEEKDAY(DATE($A$2,INT((COLUMN()-1)/31.001)+$A$1,ROUNDUP(MOD(COLUMN()-1,31.001),0)),2),Sheet3!$D$1:$E$7,2,0),$NW$21:$NX$35,2,0)="Yes"))</f>
        <v>1</v>
      </c>
      <c r="JL3" s="13" t="b">
        <f>AND(NOT(ISNUMBER(MATCH(DATE($A$2,INT((COLUMN()-1)/31.001)+$A$1,ROUNDUP(MOD(COLUMN()-1,31.001),0)),HolidayList[Date],0))),(VLOOKUP(VLOOKUP(WEEKDAY(DATE($A$2,INT((COLUMN()-1)/31.001)+$A$1,ROUNDUP(MOD(COLUMN()-1,31.001),0)),2),Sheet3!$D$1:$E$7,2,0),$NW$21:$NX$35,2,0)="Yes"))</f>
        <v>1</v>
      </c>
      <c r="JM3" s="13" t="b">
        <f>AND(NOT(ISNUMBER(MATCH(DATE($A$2,INT((COLUMN()-1)/31.001)+$A$1,ROUNDUP(MOD(COLUMN()-1,31.001),0)),HolidayList[Date],0))),(VLOOKUP(VLOOKUP(WEEKDAY(DATE($A$2,INT((COLUMN()-1)/31.001)+$A$1,ROUNDUP(MOD(COLUMN()-1,31.001),0)),2),Sheet3!$D$1:$E$7,2,0),$NW$21:$NX$35,2,0)="Yes"))</f>
        <v>1</v>
      </c>
      <c r="JN3" s="13" t="b">
        <f>AND(NOT(ISNUMBER(MATCH(DATE($A$2,INT((COLUMN()-1)/31.001)+$A$1,ROUNDUP(MOD(COLUMN()-1,31.001),0)),HolidayList[Date],0))),(VLOOKUP(VLOOKUP(WEEKDAY(DATE($A$2,INT((COLUMN()-1)/31.001)+$A$1,ROUNDUP(MOD(COLUMN()-1,31.001),0)),2),Sheet3!$D$1:$E$7,2,0),$NW$21:$NX$35,2,0)="Yes"))</f>
        <v>1</v>
      </c>
      <c r="JO3" s="13" t="b">
        <f>AND(NOT(ISNUMBER(MATCH(DATE($A$2,INT((COLUMN()-1)/31.001)+$A$1,ROUNDUP(MOD(COLUMN()-1,31.001),0)),HolidayList[Date],0))),(VLOOKUP(VLOOKUP(WEEKDAY(DATE($A$2,INT((COLUMN()-1)/31.001)+$A$1,ROUNDUP(MOD(COLUMN()-1,31.001),0)),2),Sheet3!$D$1:$E$7,2,0),$NW$21:$NX$35,2,0)="Yes"))</f>
        <v>1</v>
      </c>
      <c r="JP3" s="13" t="b">
        <f>AND(NOT(ISNUMBER(MATCH(DATE($A$2,INT((COLUMN()-1)/31.001)+$A$1,ROUNDUP(MOD(COLUMN()-1,31.001),0)),HolidayList[Date],0))),(VLOOKUP(VLOOKUP(WEEKDAY(DATE($A$2,INT((COLUMN()-1)/31.001)+$A$1,ROUNDUP(MOD(COLUMN()-1,31.001),0)),2),Sheet3!$D$1:$E$7,2,0),$NW$21:$NX$35,2,0)="Yes"))</f>
        <v>0</v>
      </c>
      <c r="JQ3" s="13" t="b">
        <f>AND(NOT(ISNUMBER(MATCH(DATE($A$2,INT((COLUMN()-1)/31.001)+$A$1,ROUNDUP(MOD(COLUMN()-1,31.001),0)),HolidayList[Date],0))),(VLOOKUP(VLOOKUP(WEEKDAY(DATE($A$2,INT((COLUMN()-1)/31.001)+$A$1,ROUNDUP(MOD(COLUMN()-1,31.001),0)),2),Sheet3!$D$1:$E$7,2,0),$NW$21:$NX$35,2,0)="Yes"))</f>
        <v>0</v>
      </c>
      <c r="JR3" s="13" t="b">
        <f>AND(NOT(ISNUMBER(MATCH(DATE($A$2,INT((COLUMN()-1)/31.001)+$A$1,ROUNDUP(MOD(COLUMN()-1,31.001),0)),HolidayList[Date],0))),(VLOOKUP(VLOOKUP(WEEKDAY(DATE($A$2,INT((COLUMN()-1)/31.001)+$A$1,ROUNDUP(MOD(COLUMN()-1,31.001),0)),2),Sheet3!$D$1:$E$7,2,0),$NW$21:$NX$35,2,0)="Yes"))</f>
        <v>1</v>
      </c>
      <c r="JS3" s="13" t="b">
        <f>AND(NOT(ISNUMBER(MATCH(DATE($A$2,INT((COLUMN()-1)/31.001)+$A$1,ROUNDUP(MOD(COLUMN()-1,31.001),0)),HolidayList[Date],0))),(VLOOKUP(VLOOKUP(WEEKDAY(DATE($A$2,INT((COLUMN()-1)/31.001)+$A$1,ROUNDUP(MOD(COLUMN()-1,31.001),0)),2),Sheet3!$D$1:$E$7,2,0),$NW$21:$NX$35,2,0)="Yes"))</f>
        <v>1</v>
      </c>
      <c r="JT3" s="13" t="b">
        <f>AND(NOT(ISNUMBER(MATCH(DATE($A$2,INT((COLUMN()-1)/31.001)+$A$1,ROUNDUP(MOD(COLUMN()-1,31.001),0)),HolidayList[Date],0))),(VLOOKUP(VLOOKUP(WEEKDAY(DATE($A$2,INT((COLUMN()-1)/31.001)+$A$1,ROUNDUP(MOD(COLUMN()-1,31.001),0)),2),Sheet3!$D$1:$E$7,2,0),$NW$21:$NX$35,2,0)="Yes"))</f>
        <v>1</v>
      </c>
      <c r="JU3" s="13" t="b">
        <f>AND(NOT(ISNUMBER(MATCH(DATE($A$2,INT((COLUMN()-1)/31.001)+$A$1,ROUNDUP(MOD(COLUMN()-1,31.001),0)),HolidayList[Date],0))),(VLOOKUP(VLOOKUP(WEEKDAY(DATE($A$2,INT((COLUMN()-1)/31.001)+$A$1,ROUNDUP(MOD(COLUMN()-1,31.001),0)),2),Sheet3!$D$1:$E$7,2,0),$NW$21:$NX$35,2,0)="Yes"))</f>
        <v>1</v>
      </c>
      <c r="JV3" s="13" t="b">
        <f>AND(NOT(ISNUMBER(MATCH(DATE($A$2,INT((COLUMN()-1)/31.001)+$A$1,ROUNDUP(MOD(COLUMN()-1,31.001),0)),HolidayList[Date],0))),(VLOOKUP(VLOOKUP(WEEKDAY(DATE($A$2,INT((COLUMN()-1)/31.001)+$A$1,ROUNDUP(MOD(COLUMN()-1,31.001),0)),2),Sheet3!$D$1:$E$7,2,0),$NW$21:$NX$35,2,0)="Yes"))</f>
        <v>1</v>
      </c>
      <c r="JW3" s="13" t="b">
        <f>AND(NOT(ISNUMBER(MATCH(DATE($A$2,INT((COLUMN()-1)/31.001)+$A$1,ROUNDUP(MOD(COLUMN()-1,31.001),0)),HolidayList[Date],0))),(VLOOKUP(VLOOKUP(WEEKDAY(DATE($A$2,INT((COLUMN()-1)/31.001)+$A$1,ROUNDUP(MOD(COLUMN()-1,31.001),0)),2),Sheet3!$D$1:$E$7,2,0),$NW$21:$NX$35,2,0)="Yes"))</f>
        <v>1</v>
      </c>
      <c r="JX3" s="13" t="b">
        <f>AND(NOT(ISNUMBER(MATCH(DATE($A$2,INT((COLUMN()-1)/31.001)+$A$1,ROUNDUP(MOD(COLUMN()-1,31.001),0)),HolidayList[Date],0))),(VLOOKUP(VLOOKUP(WEEKDAY(DATE($A$2,INT((COLUMN()-1)/31.001)+$A$1,ROUNDUP(MOD(COLUMN()-1,31.001),0)),2),Sheet3!$D$1:$E$7,2,0),$NW$21:$NX$35,2,0)="Yes"))</f>
        <v>0</v>
      </c>
      <c r="JY3" s="13" t="b">
        <f>AND(NOT(ISNUMBER(MATCH(DATE($A$2,INT((COLUMN()-1)/31.001)+$A$1,ROUNDUP(MOD(COLUMN()-1,31.001),0)),HolidayList[Date],0))),(VLOOKUP(VLOOKUP(WEEKDAY(DATE($A$2,INT((COLUMN()-1)/31.001)+$A$1,ROUNDUP(MOD(COLUMN()-1,31.001),0)),2),Sheet3!$D$1:$E$7,2,0),$NW$21:$NX$35,2,0)="Yes"))</f>
        <v>0</v>
      </c>
      <c r="JZ3" s="13" t="b">
        <f>AND(NOT(ISNUMBER(MATCH(DATE($A$2,INT((COLUMN()-1)/31.001)+$A$1,ROUNDUP(MOD(COLUMN()-1,31.001),0)),HolidayList[Date],0))),(VLOOKUP(VLOOKUP(WEEKDAY(DATE($A$2,INT((COLUMN()-1)/31.001)+$A$1,ROUNDUP(MOD(COLUMN()-1,31.001),0)),2),Sheet3!$D$1:$E$7,2,0),$NW$21:$NX$35,2,0)="Yes"))</f>
        <v>1</v>
      </c>
      <c r="KA3" s="13" t="b">
        <f>AND(NOT(ISNUMBER(MATCH(DATE($A$2,INT((COLUMN()-1)/31.001)+$A$1,ROUNDUP(MOD(COLUMN()-1,31.001),0)),HolidayList[Date],0))),(VLOOKUP(VLOOKUP(WEEKDAY(DATE($A$2,INT((COLUMN()-1)/31.001)+$A$1,ROUNDUP(MOD(COLUMN()-1,31.001),0)),2),Sheet3!$D$1:$E$7,2,0),$NW$21:$NX$35,2,0)="Yes"))</f>
        <v>1</v>
      </c>
      <c r="KB3" s="13" t="b">
        <f>AND(NOT(ISNUMBER(MATCH(DATE($A$2,INT((COLUMN()-1)/31.001)+$A$1,ROUNDUP(MOD(COLUMN()-1,31.001),0)),HolidayList[Date],0))),(VLOOKUP(VLOOKUP(WEEKDAY(DATE($A$2,INT((COLUMN()-1)/31.001)+$A$1,ROUNDUP(MOD(COLUMN()-1,31.001),0)),2),Sheet3!$D$1:$E$7,2,0),$NW$21:$NX$35,2,0)="Yes"))</f>
        <v>1</v>
      </c>
      <c r="KC3" s="13" t="b">
        <f>AND(NOT(ISNUMBER(MATCH(DATE($A$2,INT((COLUMN()-1)/31.001)+$A$1,ROUNDUP(MOD(COLUMN()-1,31.001),0)),HolidayList[Date],0))),(VLOOKUP(VLOOKUP(WEEKDAY(DATE($A$2,INT((COLUMN()-1)/31.001)+$A$1,ROUNDUP(MOD(COLUMN()-1,31.001),0)),2),Sheet3!$D$1:$E$7,2,0),$NW$21:$NX$35,2,0)="Yes"))</f>
        <v>1</v>
      </c>
      <c r="KD3" s="13" t="b">
        <f>AND(NOT(ISNUMBER(MATCH(DATE($A$2,INT((COLUMN()-1)/31.001)+$A$1,ROUNDUP(MOD(COLUMN()-1,31.001),0)),HolidayList[Date],0))),(VLOOKUP(VLOOKUP(WEEKDAY(DATE($A$2,INT((COLUMN()-1)/31.001)+$A$1,ROUNDUP(MOD(COLUMN()-1,31.001),0)),2),Sheet3!$D$1:$E$7,2,0),$NW$21:$NX$35,2,0)="Yes"))</f>
        <v>1</v>
      </c>
      <c r="KE3" s="13" t="b">
        <f>AND(NOT(ISNUMBER(MATCH(DATE($A$2,INT((COLUMN()-1)/31.001)+$A$1,ROUNDUP(MOD(COLUMN()-1,31.001),0)),HolidayList[Date],0))),(VLOOKUP(VLOOKUP(WEEKDAY(DATE($A$2,INT((COLUMN()-1)/31.001)+$A$1,ROUNDUP(MOD(COLUMN()-1,31.001),0)),2),Sheet3!$D$1:$E$7,2,0),$NW$21:$NX$35,2,0)="Yes"))</f>
        <v>0</v>
      </c>
      <c r="KF3" s="13" t="b">
        <f>AND(NOT(ISNUMBER(MATCH(DATE($A$2,INT((COLUMN()-1)/31.001)+$A$1,ROUNDUP(MOD(COLUMN()-1,31.001),0)),HolidayList[Date],0))),(VLOOKUP(VLOOKUP(WEEKDAY(DATE($A$2,INT((COLUMN()-1)/31.001)+$A$1,ROUNDUP(MOD(COLUMN()-1,31.001),0)),2),Sheet3!$D$1:$E$7,2,0),$NW$21:$NX$35,2,0)="Yes"))</f>
        <v>0</v>
      </c>
      <c r="KG3" s="13" t="b">
        <f>AND(NOT(ISNUMBER(MATCH(DATE($A$2,INT((COLUMN()-1)/31.001)+$A$1,ROUNDUP(MOD(COLUMN()-1,31.001),0)),HolidayList[Date],0))),(VLOOKUP(VLOOKUP(WEEKDAY(DATE($A$2,INT((COLUMN()-1)/31.001)+$A$1,ROUNDUP(MOD(COLUMN()-1,31.001),0)),2),Sheet3!$D$1:$E$7,2,0),$NW$21:$NX$35,2,0)="Yes"))</f>
        <v>1</v>
      </c>
      <c r="KH3" s="13" t="b">
        <f>AND(NOT(ISNUMBER(MATCH(DATE($A$2,INT((COLUMN()-1)/31.001)+$A$1,ROUNDUP(MOD(COLUMN()-1,31.001),0)),HolidayList[Date],0))),(VLOOKUP(VLOOKUP(WEEKDAY(DATE($A$2,INT((COLUMN()-1)/31.001)+$A$1,ROUNDUP(MOD(COLUMN()-1,31.001),0)),2),Sheet3!$D$1:$E$7,2,0),$NW$21:$NX$35,2,0)="Yes"))</f>
        <v>1</v>
      </c>
      <c r="KI3" s="13" t="b">
        <f>AND(NOT(ISNUMBER(MATCH(DATE($A$2,INT((COLUMN()-1)/31.001)+$A$1,ROUNDUP(MOD(COLUMN()-1,31.001),0)),HolidayList[Date],0))),(VLOOKUP(VLOOKUP(WEEKDAY(DATE($A$2,INT((COLUMN()-1)/31.001)+$A$1,ROUNDUP(MOD(COLUMN()-1,31.001),0)),2),Sheet3!$D$1:$E$7,2,0),$NW$21:$NX$35,2,0)="Yes"))</f>
        <v>1</v>
      </c>
      <c r="KJ3" s="13" t="b">
        <f>AND(NOT(ISNUMBER(MATCH(DATE($A$2,INT((COLUMN()-1)/31.001)+$A$1,ROUNDUP(MOD(COLUMN()-1,31.001),0)),HolidayList[Date],0))),(VLOOKUP(VLOOKUP(WEEKDAY(DATE($A$2,INT((COLUMN()-1)/31.001)+$A$1,ROUNDUP(MOD(COLUMN()-1,31.001),0)),2),Sheet3!$D$1:$E$7,2,0),$NW$21:$NX$35,2,0)="Yes"))</f>
        <v>1</v>
      </c>
      <c r="KK3" s="13" t="b">
        <f>AND(NOT(ISNUMBER(MATCH(DATE($A$2,INT((COLUMN()-1)/31.001)+$A$1,ROUNDUP(MOD(COLUMN()-1,31.001),0)),HolidayList[Date],0))),(VLOOKUP(VLOOKUP(WEEKDAY(DATE($A$2,INT((COLUMN()-1)/31.001)+$A$1,ROUNDUP(MOD(COLUMN()-1,31.001),0)),2),Sheet3!$D$1:$E$7,2,0),$NW$21:$NX$35,2,0)="Yes"))</f>
        <v>1</v>
      </c>
      <c r="KL3" s="13" t="b">
        <f>AND(NOT(ISNUMBER(MATCH(DATE($A$2,INT((COLUMN()-1)/31.001)+$A$1,ROUNDUP(MOD(COLUMN()-1,31.001),0)),HolidayList[Date],0))),(VLOOKUP(VLOOKUP(WEEKDAY(DATE($A$2,INT((COLUMN()-1)/31.001)+$A$1,ROUNDUP(MOD(COLUMN()-1,31.001),0)),2),Sheet3!$D$1:$E$7,2,0),$NW$21:$NX$35,2,0)="Yes"))</f>
        <v>0</v>
      </c>
      <c r="KM3" s="13" t="b">
        <f>AND(NOT(ISNUMBER(MATCH(DATE($A$2,INT((COLUMN()-1)/31.001)+$A$1,ROUNDUP(MOD(COLUMN()-1,31.001),0)),HolidayList[Date],0))),(VLOOKUP(VLOOKUP(WEEKDAY(DATE($A$2,INT((COLUMN()-1)/31.001)+$A$1,ROUNDUP(MOD(COLUMN()-1,31.001),0)),2),Sheet3!$D$1:$E$7,2,0),$NW$21:$NX$35,2,0)="Yes"))</f>
        <v>0</v>
      </c>
      <c r="KN3" s="13" t="b">
        <f>AND(NOT(ISNUMBER(MATCH(DATE($A$2,INT((COLUMN()-1)/31.001)+$A$1,ROUNDUP(MOD(COLUMN()-1,31.001),0)),HolidayList[Date],0))),(VLOOKUP(VLOOKUP(WEEKDAY(DATE($A$2,INT((COLUMN()-1)/31.001)+$A$1,ROUNDUP(MOD(COLUMN()-1,31.001),0)),2),Sheet3!$D$1:$E$7,2,0),$NW$21:$NX$35,2,0)="Yes"))</f>
        <v>1</v>
      </c>
      <c r="KO3" s="13" t="b">
        <f>AND(NOT(ISNUMBER(MATCH(DATE($A$2,INT((COLUMN()-1)/31.001)+$A$1,ROUNDUP(MOD(COLUMN()-1,31.001),0)),HolidayList[Date],0))),(VLOOKUP(VLOOKUP(WEEKDAY(DATE($A$2,INT((COLUMN()-1)/31.001)+$A$1,ROUNDUP(MOD(COLUMN()-1,31.001),0)),2),Sheet3!$D$1:$E$7,2,0),$NW$21:$NX$35,2,0)="Yes"))</f>
        <v>1</v>
      </c>
      <c r="KP3" s="13" t="b">
        <f>AND(NOT(ISNUMBER(MATCH(DATE($A$2,INT((COLUMN()-1)/31.001)+$A$1,ROUNDUP(MOD(COLUMN()-1,31.001),0)),HolidayList[Date],0))),(VLOOKUP(VLOOKUP(WEEKDAY(DATE($A$2,INT((COLUMN()-1)/31.001)+$A$1,ROUNDUP(MOD(COLUMN()-1,31.001),0)),2),Sheet3!$D$1:$E$7,2,0),$NW$21:$NX$35,2,0)="Yes"))</f>
        <v>1</v>
      </c>
      <c r="KQ3" s="13" t="b">
        <f>AND(NOT(ISNUMBER(MATCH(DATE($A$2,INT((COLUMN()-1)/31.001)+$A$1,ROUNDUP(MOD(COLUMN()-1,31.001),0)),HolidayList[Date],0))),(VLOOKUP(VLOOKUP(WEEKDAY(DATE($A$2,INT((COLUMN()-1)/31.001)+$A$1,ROUNDUP(MOD(COLUMN()-1,31.001),0)),2),Sheet3!$D$1:$E$7,2,0),$NW$21:$NX$35,2,0)="Yes"))</f>
        <v>1</v>
      </c>
      <c r="KR3" s="13" t="b">
        <f>AND(NOT(ISNUMBER(MATCH(DATE($A$2,INT((COLUMN()-1)/31.001)+$A$1,ROUNDUP(MOD(COLUMN()-1,31.001),0)),HolidayList[Date],0))),(VLOOKUP(VLOOKUP(WEEKDAY(DATE($A$2,INT((COLUMN()-1)/31.001)+$A$1,ROUNDUP(MOD(COLUMN()-1,31.001),0)),2),Sheet3!$D$1:$E$7,2,0),$NW$21:$NX$35,2,0)="Yes"))</f>
        <v>1</v>
      </c>
      <c r="KS3" s="13" t="b">
        <f>AND(NOT(ISNUMBER(MATCH(DATE($A$2,INT((COLUMN()-1)/31.001)+$A$1,ROUNDUP(MOD(COLUMN()-1,31.001),0)),HolidayList[Date],0))),(VLOOKUP(VLOOKUP(WEEKDAY(DATE($A$2,INT((COLUMN()-1)/31.001)+$A$1,ROUNDUP(MOD(COLUMN()-1,31.001),0)),2),Sheet3!$D$1:$E$7,2,0),$NW$21:$NX$35,2,0)="Yes"))</f>
        <v>0</v>
      </c>
      <c r="KT3" s="13" t="b">
        <f>AND(NOT(ISNUMBER(MATCH(DATE($A$2,INT((COLUMN()-1)/31.001)+$A$1,ROUNDUP(MOD(COLUMN()-1,31.001),0)),HolidayList[Date],0))),(VLOOKUP(VLOOKUP(WEEKDAY(DATE($A$2,INT((COLUMN()-1)/31.001)+$A$1,ROUNDUP(MOD(COLUMN()-1,31.001),0)),2),Sheet3!$D$1:$E$7,2,0),$NW$21:$NX$35,2,0)="Yes"))</f>
        <v>0</v>
      </c>
      <c r="KU3" s="13" t="b">
        <f>AND(NOT(ISNUMBER(MATCH(DATE($A$2,INT((COLUMN()-1)/31.001)+$A$1,ROUNDUP(MOD(COLUMN()-1,31.001),0)),HolidayList[Date],0))),(VLOOKUP(VLOOKUP(WEEKDAY(DATE($A$2,INT((COLUMN()-1)/31.001)+$A$1,ROUNDUP(MOD(COLUMN()-1,31.001),0)),2),Sheet3!$D$1:$E$7,2,0),$NW$21:$NX$35,2,0)="Yes"))</f>
        <v>1</v>
      </c>
      <c r="KV3" s="13" t="b">
        <f>AND(NOT(ISNUMBER(MATCH(DATE($A$2,INT((COLUMN()-1)/31.001)+$A$1,ROUNDUP(MOD(COLUMN()-1,31.001),0)),HolidayList[Date],0))),(VLOOKUP(VLOOKUP(WEEKDAY(DATE($A$2,INT((COLUMN()-1)/31.001)+$A$1,ROUNDUP(MOD(COLUMN()-1,31.001),0)),2),Sheet3!$D$1:$E$7,2,0),$NW$21:$NX$35,2,0)="Yes"))</f>
        <v>1</v>
      </c>
      <c r="KW3" s="13" t="b">
        <f>AND(NOT(ISNUMBER(MATCH(DATE($A$2,INT((COLUMN()-1)/31.001)+$A$1,ROUNDUP(MOD(COLUMN()-1,31.001),0)),HolidayList[Date],0))),(VLOOKUP(VLOOKUP(WEEKDAY(DATE($A$2,INT((COLUMN()-1)/31.001)+$A$1,ROUNDUP(MOD(COLUMN()-1,31.001),0)),2),Sheet3!$D$1:$E$7,2,0),$NW$21:$NX$35,2,0)="Yes"))</f>
        <v>1</v>
      </c>
      <c r="KX3" s="13" t="b">
        <f>AND(NOT(ISNUMBER(MATCH(DATE($A$2,INT((COLUMN()-1)/31.001)+$A$1,ROUNDUP(MOD(COLUMN()-1,31.001),0)),HolidayList[Date],0))),(VLOOKUP(VLOOKUP(WEEKDAY(DATE($A$2,INT((COLUMN()-1)/31.001)+$A$1,ROUNDUP(MOD(COLUMN()-1,31.001),0)),2),Sheet3!$D$1:$E$7,2,0),$NW$21:$NX$35,2,0)="Yes"))</f>
        <v>1</v>
      </c>
      <c r="KY3" s="13" t="b">
        <f>AND(NOT(ISNUMBER(MATCH(DATE($A$2,INT((COLUMN()-1)/31.001)+$A$1,ROUNDUP(MOD(COLUMN()-1,31.001),0)),HolidayList[Date],0))),(VLOOKUP(VLOOKUP(WEEKDAY(DATE($A$2,INT((COLUMN()-1)/31.001)+$A$1,ROUNDUP(MOD(COLUMN()-1,31.001),0)),2),Sheet3!$D$1:$E$7,2,0),$NW$21:$NX$35,2,0)="Yes"))</f>
        <v>1</v>
      </c>
      <c r="KZ3" s="13" t="b">
        <f>AND(NOT(ISNUMBER(MATCH(DATE($A$2,INT((COLUMN()-1)/31.001)+$A$1,ROUNDUP(MOD(COLUMN()-1,31.001),0)),HolidayList[Date],0))),(VLOOKUP(VLOOKUP(WEEKDAY(DATE($A$2,INT((COLUMN()-1)/31.001)+$A$1,ROUNDUP(MOD(COLUMN()-1,31.001),0)),2),Sheet3!$D$1:$E$7,2,0),$NW$21:$NX$35,2,0)="Yes"))</f>
        <v>0</v>
      </c>
      <c r="LA3" s="13" t="b">
        <f>AND(NOT(ISNUMBER(MATCH(DATE($A$2,INT((COLUMN()-1)/31.001)+$A$1,ROUNDUP(MOD(COLUMN()-1,31.001),0)),HolidayList[Date],0))),(VLOOKUP(VLOOKUP(WEEKDAY(DATE($A$2,INT((COLUMN()-1)/31.001)+$A$1,ROUNDUP(MOD(COLUMN()-1,31.001),0)),2),Sheet3!$D$1:$E$7,2,0),$NW$21:$NX$35,2,0)="Yes"))</f>
        <v>0</v>
      </c>
      <c r="LB3" s="13" t="b">
        <f>AND(NOT(ISNUMBER(MATCH(DATE($A$2,INT((COLUMN()-1)/31.001)+$A$1,ROUNDUP(MOD(COLUMN()-1,31.001),0)),HolidayList[Date],0))),(VLOOKUP(VLOOKUP(WEEKDAY(DATE($A$2,INT((COLUMN()-1)/31.001)+$A$1,ROUNDUP(MOD(COLUMN()-1,31.001),0)),2),Sheet3!$D$1:$E$7,2,0),$NW$21:$NX$35,2,0)="Yes"))</f>
        <v>1</v>
      </c>
      <c r="LC3" s="13" t="b">
        <f>AND(NOT(ISNUMBER(MATCH(DATE($A$2,INT((COLUMN()-1)/31.001)+$A$1,ROUNDUP(MOD(COLUMN()-1,31.001),0)),HolidayList[Date],0))),(VLOOKUP(VLOOKUP(WEEKDAY(DATE($A$2,INT((COLUMN()-1)/31.001)+$A$1,ROUNDUP(MOD(COLUMN()-1,31.001),0)),2),Sheet3!$D$1:$E$7,2,0),$NW$21:$NX$35,2,0)="Yes"))</f>
        <v>1</v>
      </c>
      <c r="LD3" s="13" t="b">
        <f>AND(NOT(ISNUMBER(MATCH(DATE($A$2,INT((COLUMN()-1)/31.001)+$A$1,ROUNDUP(MOD(COLUMN()-1,31.001),0)),HolidayList[Date],0))),(VLOOKUP(VLOOKUP(WEEKDAY(DATE($A$2,INT((COLUMN()-1)/31.001)+$A$1,ROUNDUP(MOD(COLUMN()-1,31.001),0)),2),Sheet3!$D$1:$E$7,2,0),$NW$21:$NX$35,2,0)="Yes"))</f>
        <v>1</v>
      </c>
      <c r="LE3" s="13" t="b">
        <f>AND(NOT(ISNUMBER(MATCH(DATE($A$2,INT((COLUMN()-1)/31.001)+$A$1,ROUNDUP(MOD(COLUMN()-1,31.001),0)),HolidayList[Date],0))),(VLOOKUP(VLOOKUP(WEEKDAY(DATE($A$2,INT((COLUMN()-1)/31.001)+$A$1,ROUNDUP(MOD(COLUMN()-1,31.001),0)),2),Sheet3!$D$1:$E$7,2,0),$NW$21:$NX$35,2,0)="Yes"))</f>
        <v>1</v>
      </c>
      <c r="LF3" s="13" t="b">
        <f>AND(NOT(ISNUMBER(MATCH(DATE($A$2,INT((COLUMN()-1)/31.001)+$A$1,ROUNDUP(MOD(COLUMN()-1,31.001),0)),HolidayList[Date],0))),(VLOOKUP(VLOOKUP(WEEKDAY(DATE($A$2,INT((COLUMN()-1)/31.001)+$A$1,ROUNDUP(MOD(COLUMN()-1,31.001),0)),2),Sheet3!$D$1:$E$7,2,0),$NW$21:$NX$35,2,0)="Yes"))</f>
        <v>1</v>
      </c>
      <c r="LG3" s="13" t="b">
        <f>AND(NOT(ISNUMBER(MATCH(DATE($A$2,INT((COLUMN()-1)/31.001)+$A$1,ROUNDUP(MOD(COLUMN()-1,31.001),0)),HolidayList[Date],0))),(VLOOKUP(VLOOKUP(WEEKDAY(DATE($A$2,INT((COLUMN()-1)/31.001)+$A$1,ROUNDUP(MOD(COLUMN()-1,31.001),0)),2),Sheet3!$D$1:$E$7,2,0),$NW$21:$NX$35,2,0)="Yes"))</f>
        <v>0</v>
      </c>
      <c r="LH3" s="13" t="b">
        <f>AND(NOT(ISNUMBER(MATCH(DATE($A$2,INT((COLUMN()-1)/31.001)+$A$1,ROUNDUP(MOD(COLUMN()-1,31.001),0)),HolidayList[Date],0))),(VLOOKUP(VLOOKUP(WEEKDAY(DATE($A$2,INT((COLUMN()-1)/31.001)+$A$1,ROUNDUP(MOD(COLUMN()-1,31.001),0)),2),Sheet3!$D$1:$E$7,2,0),$NW$21:$NX$35,2,0)="Yes"))</f>
        <v>0</v>
      </c>
      <c r="LI3" s="13" t="b">
        <f>AND(NOT(ISNUMBER(MATCH(DATE($A$2,INT((COLUMN()-1)/31.001)+$A$1,ROUNDUP(MOD(COLUMN()-1,31.001),0)),HolidayList[Date],0))),(VLOOKUP(VLOOKUP(WEEKDAY(DATE($A$2,INT((COLUMN()-1)/31.001)+$A$1,ROUNDUP(MOD(COLUMN()-1,31.001),0)),2),Sheet3!$D$1:$E$7,2,0),$NW$21:$NX$35,2,0)="Yes"))</f>
        <v>1</v>
      </c>
      <c r="LJ3" s="13" t="b">
        <f>AND(NOT(ISNUMBER(MATCH(DATE($A$2,INT((COLUMN()-1)/31.001)+$A$1,ROUNDUP(MOD(COLUMN()-1,31.001),0)),HolidayList[Date],0))),(VLOOKUP(VLOOKUP(WEEKDAY(DATE($A$2,INT((COLUMN()-1)/31.001)+$A$1,ROUNDUP(MOD(COLUMN()-1,31.001),0)),2),Sheet3!$D$1:$E$7,2,0),$NW$21:$NX$35,2,0)="Yes"))</f>
        <v>1</v>
      </c>
      <c r="LK3" s="13" t="b">
        <f>AND(NOT(ISNUMBER(MATCH(DATE($A$2,INT((COLUMN()-1)/31.001)+$A$1,ROUNDUP(MOD(COLUMN()-1,31.001),0)),HolidayList[Date],0))),(VLOOKUP(VLOOKUP(WEEKDAY(DATE($A$2,INT((COLUMN()-1)/31.001)+$A$1,ROUNDUP(MOD(COLUMN()-1,31.001),0)),2),Sheet3!$D$1:$E$7,2,0),$NW$21:$NX$35,2,0)="Yes"))</f>
        <v>1</v>
      </c>
      <c r="LL3" s="13" t="b">
        <f>AND(NOT(ISNUMBER(MATCH(DATE($A$2,INT((COLUMN()-1)/31.001)+$A$1,ROUNDUP(MOD(COLUMN()-1,31.001),0)),HolidayList[Date],0))),(VLOOKUP(VLOOKUP(WEEKDAY(DATE($A$2,INT((COLUMN()-1)/31.001)+$A$1,ROUNDUP(MOD(COLUMN()-1,31.001),0)),2),Sheet3!$D$1:$E$7,2,0),$NW$21:$NX$35,2,0)="Yes"))</f>
        <v>1</v>
      </c>
      <c r="LM3" s="13" t="b">
        <f>AND(NOT(ISNUMBER(MATCH(DATE($A$2,INT((COLUMN()-1)/31.001)+$A$1,ROUNDUP(MOD(COLUMN()-1,31.001),0)),HolidayList[Date],0))),(VLOOKUP(VLOOKUP(WEEKDAY(DATE($A$2,INT((COLUMN()-1)/31.001)+$A$1,ROUNDUP(MOD(COLUMN()-1,31.001),0)),2),Sheet3!$D$1:$E$7,2,0),$NW$21:$NX$35,2,0)="Yes"))</f>
        <v>1</v>
      </c>
      <c r="LN3" s="13" t="b">
        <f>AND(NOT(ISNUMBER(MATCH(DATE($A$2,INT((COLUMN()-1)/31.001)+$A$1,ROUNDUP(MOD(COLUMN()-1,31.001),0)),HolidayList[Date],0))),(VLOOKUP(VLOOKUP(WEEKDAY(DATE($A$2,INT((COLUMN()-1)/31.001)+$A$1,ROUNDUP(MOD(COLUMN()-1,31.001),0)),2),Sheet3!$D$1:$E$7,2,0),$NW$21:$NX$35,2,0)="Yes"))</f>
        <v>0</v>
      </c>
      <c r="LO3" s="13" t="b">
        <f>AND(NOT(ISNUMBER(MATCH(DATE($A$2,INT((COLUMN()-1)/31.001)+$A$1,ROUNDUP(MOD(COLUMN()-1,31.001),0)),HolidayList[Date],0))),(VLOOKUP(VLOOKUP(WEEKDAY(DATE($A$2,INT((COLUMN()-1)/31.001)+$A$1,ROUNDUP(MOD(COLUMN()-1,31.001),0)),2),Sheet3!$D$1:$E$7,2,0),$NW$21:$NX$35,2,0)="Yes"))</f>
        <v>0</v>
      </c>
      <c r="LP3" s="13" t="b">
        <f>AND(NOT(ISNUMBER(MATCH(DATE($A$2,INT((COLUMN()-1)/31.001)+$A$1,ROUNDUP(MOD(COLUMN()-1,31.001),0)),HolidayList[Date],0))),(VLOOKUP(VLOOKUP(WEEKDAY(DATE($A$2,INT((COLUMN()-1)/31.001)+$A$1,ROUNDUP(MOD(COLUMN()-1,31.001),0)),2),Sheet3!$D$1:$E$7,2,0),$NW$21:$NX$35,2,0)="Yes"))</f>
        <v>1</v>
      </c>
      <c r="LQ3" s="13" t="b">
        <f>AND(NOT(ISNUMBER(MATCH(DATE($A$2,INT((COLUMN()-1)/31.001)+$A$1,ROUNDUP(MOD(COLUMN()-1,31.001),0)),HolidayList[Date],0))),(VLOOKUP(VLOOKUP(WEEKDAY(DATE($A$2,INT((COLUMN()-1)/31.001)+$A$1,ROUNDUP(MOD(COLUMN()-1,31.001),0)),2),Sheet3!$D$1:$E$7,2,0),$NW$21:$NX$35,2,0)="Yes"))</f>
        <v>1</v>
      </c>
      <c r="LR3" s="13" t="b">
        <f>AND(NOT(ISNUMBER(MATCH(DATE($A$2,INT((COLUMN()-1)/31.001)+$A$1,ROUNDUP(MOD(COLUMN()-1,31.001),0)),HolidayList[Date],0))),(VLOOKUP(VLOOKUP(WEEKDAY(DATE($A$2,INT((COLUMN()-1)/31.001)+$A$1,ROUNDUP(MOD(COLUMN()-1,31.001),0)),2),Sheet3!$D$1:$E$7,2,0),$NW$21:$NX$35,2,0)="Yes"))</f>
        <v>1</v>
      </c>
      <c r="LS3" s="13" t="b">
        <f>AND(NOT(ISNUMBER(MATCH(DATE($A$2,INT((COLUMN()-1)/31.001)+$A$1,ROUNDUP(MOD(COLUMN()-1,31.001),0)),HolidayList[Date],0))),(VLOOKUP(VLOOKUP(WEEKDAY(DATE($A$2,INT((COLUMN()-1)/31.001)+$A$1,ROUNDUP(MOD(COLUMN()-1,31.001),0)),2),Sheet3!$D$1:$E$7,2,0),$NW$21:$NX$35,2,0)="Yes"))</f>
        <v>1</v>
      </c>
      <c r="LT3" s="13" t="b">
        <f>AND(NOT(ISNUMBER(MATCH(DATE($A$2,INT((COLUMN()-1)/31.001)+$A$1,ROUNDUP(MOD(COLUMN()-1,31.001),0)),HolidayList[Date],0))),(VLOOKUP(VLOOKUP(WEEKDAY(DATE($A$2,INT((COLUMN()-1)/31.001)+$A$1,ROUNDUP(MOD(COLUMN()-1,31.001),0)),2),Sheet3!$D$1:$E$7,2,0),$NW$21:$NX$35,2,0)="Yes"))</f>
        <v>1</v>
      </c>
      <c r="LU3" s="13" t="b">
        <f>AND(NOT(ISNUMBER(MATCH(DATE($A$2,INT((COLUMN()-1)/31.001)+$A$1,ROUNDUP(MOD(COLUMN()-1,31.001),0)),HolidayList[Date],0))),(VLOOKUP(VLOOKUP(WEEKDAY(DATE($A$2,INT((COLUMN()-1)/31.001)+$A$1,ROUNDUP(MOD(COLUMN()-1,31.001),0)),2),Sheet3!$D$1:$E$7,2,0),$NW$21:$NX$35,2,0)="Yes"))</f>
        <v>0</v>
      </c>
      <c r="LV3" s="13" t="b">
        <f>AND(NOT(ISNUMBER(MATCH(DATE($A$2,INT((COLUMN()-1)/31.001)+$A$1,ROUNDUP(MOD(COLUMN()-1,31.001),0)),HolidayList[Date],0))),(VLOOKUP(VLOOKUP(WEEKDAY(DATE($A$2,INT((COLUMN()-1)/31.001)+$A$1,ROUNDUP(MOD(COLUMN()-1,31.001),0)),2),Sheet3!$D$1:$E$7,2,0),$NW$21:$NX$35,2,0)="Yes"))</f>
        <v>0</v>
      </c>
      <c r="LW3" s="13" t="b">
        <f>AND(NOT(ISNUMBER(MATCH(DATE($A$2,INT((COLUMN()-1)/31.001)+$A$1,ROUNDUP(MOD(COLUMN()-1,31.001),0)),HolidayList[Date],0))),(VLOOKUP(VLOOKUP(WEEKDAY(DATE($A$2,INT((COLUMN()-1)/31.001)+$A$1,ROUNDUP(MOD(COLUMN()-1,31.001),0)),2),Sheet3!$D$1:$E$7,2,0),$NW$21:$NX$35,2,0)="Yes"))</f>
        <v>1</v>
      </c>
      <c r="LX3" s="13" t="b">
        <f>AND(NOT(ISNUMBER(MATCH(DATE($A$2,INT((COLUMN()-1)/31.001)+$A$1,ROUNDUP(MOD(COLUMN()-1,31.001),0)),HolidayList[Date],0))),(VLOOKUP(VLOOKUP(WEEKDAY(DATE($A$2,INT((COLUMN()-1)/31.001)+$A$1,ROUNDUP(MOD(COLUMN()-1,31.001),0)),2),Sheet3!$D$1:$E$7,2,0),$NW$21:$NX$35,2,0)="Yes"))</f>
        <v>1</v>
      </c>
      <c r="LY3" s="13" t="b">
        <f>AND(NOT(ISNUMBER(MATCH(DATE($A$2,INT((COLUMN()-1)/31.001)+$A$1,ROUNDUP(MOD(COLUMN()-1,31.001),0)),HolidayList[Date],0))),(VLOOKUP(VLOOKUP(WEEKDAY(DATE($A$2,INT((COLUMN()-1)/31.001)+$A$1,ROUNDUP(MOD(COLUMN()-1,31.001),0)),2),Sheet3!$D$1:$E$7,2,0),$NW$21:$NX$35,2,0)="Yes"))</f>
        <v>1</v>
      </c>
      <c r="LZ3" s="13" t="b">
        <f>AND(NOT(ISNUMBER(MATCH(DATE($A$2,INT((COLUMN()-1)/31.001)+$A$1,ROUNDUP(MOD(COLUMN()-1,31.001),0)),HolidayList[Date],0))),(VLOOKUP(VLOOKUP(WEEKDAY(DATE($A$2,INT((COLUMN()-1)/31.001)+$A$1,ROUNDUP(MOD(COLUMN()-1,31.001),0)),2),Sheet3!$D$1:$E$7,2,0),$NW$21:$NX$35,2,0)="Yes"))</f>
        <v>1</v>
      </c>
      <c r="MA3" s="13" t="b">
        <f>AND(NOT(ISNUMBER(MATCH(DATE($A$2,INT((COLUMN()-1)/31.001)+$A$1,ROUNDUP(MOD(COLUMN()-1,31.001),0)),HolidayList[Date],0))),(VLOOKUP(VLOOKUP(WEEKDAY(DATE($A$2,INT((COLUMN()-1)/31.001)+$A$1,ROUNDUP(MOD(COLUMN()-1,31.001),0)),2),Sheet3!$D$1:$E$7,2,0),$NW$21:$NX$35,2,0)="Yes"))</f>
        <v>1</v>
      </c>
      <c r="MB3" s="13" t="b">
        <f>AND(NOT(ISNUMBER(MATCH(DATE($A$2,INT((COLUMN()-1)/31.001)+$A$1,ROUNDUP(MOD(COLUMN()-1,31.001),0)),HolidayList[Date],0))),(VLOOKUP(VLOOKUP(WEEKDAY(DATE($A$2,INT((COLUMN()-1)/31.001)+$A$1,ROUNDUP(MOD(COLUMN()-1,31.001),0)),2),Sheet3!$D$1:$E$7,2,0),$NW$21:$NX$35,2,0)="Yes"))</f>
        <v>0</v>
      </c>
      <c r="MC3" s="13" t="b">
        <f>AND(NOT(ISNUMBER(MATCH(DATE($A$2,INT((COLUMN()-1)/31.001)+$A$1,ROUNDUP(MOD(COLUMN()-1,31.001),0)),HolidayList[Date],0))),(VLOOKUP(VLOOKUP(WEEKDAY(DATE($A$2,INT((COLUMN()-1)/31.001)+$A$1,ROUNDUP(MOD(COLUMN()-1,31.001),0)),2),Sheet3!$D$1:$E$7,2,0),$NW$21:$NX$35,2,0)="Yes"))</f>
        <v>0</v>
      </c>
      <c r="MD3" s="13" t="b">
        <f>AND(NOT(ISNUMBER(MATCH(DATE($A$2,INT((COLUMN()-1)/31.001)+$A$1,ROUNDUP(MOD(COLUMN()-1,31.001),0)),HolidayList[Date],0))),(VLOOKUP(VLOOKUP(WEEKDAY(DATE($A$2,INT((COLUMN()-1)/31.001)+$A$1,ROUNDUP(MOD(COLUMN()-1,31.001),0)),2),Sheet3!$D$1:$E$7,2,0),$NW$21:$NX$35,2,0)="Yes"))</f>
        <v>1</v>
      </c>
      <c r="ME3" s="13" t="b">
        <f>AND(NOT(ISNUMBER(MATCH(DATE($A$2,INT((COLUMN()-1)/31.001)+$A$1,ROUNDUP(MOD(COLUMN()-1,31.001),0)),HolidayList[Date],0))),(VLOOKUP(VLOOKUP(WEEKDAY(DATE($A$2,INT((COLUMN()-1)/31.001)+$A$1,ROUNDUP(MOD(COLUMN()-1,31.001),0)),2),Sheet3!$D$1:$E$7,2,0),$NW$21:$NX$35,2,0)="Yes"))</f>
        <v>1</v>
      </c>
      <c r="MF3" s="13" t="b">
        <f>AND(NOT(ISNUMBER(MATCH(DATE($A$2,INT((COLUMN()-1)/31.001)+$A$1,ROUNDUP(MOD(COLUMN()-1,31.001),0)),HolidayList[Date],0))),(VLOOKUP(VLOOKUP(WEEKDAY(DATE($A$2,INT((COLUMN()-1)/31.001)+$A$1,ROUNDUP(MOD(COLUMN()-1,31.001),0)),2),Sheet3!$D$1:$E$7,2,0),$NW$21:$NX$35,2,0)="Yes"))</f>
        <v>1</v>
      </c>
      <c r="MG3" s="13" t="b">
        <f>AND(NOT(ISNUMBER(MATCH(DATE($A$2,INT((COLUMN()-1)/31.001)+$A$1,ROUNDUP(MOD(COLUMN()-1,31.001),0)),HolidayList[Date],0))),(VLOOKUP(VLOOKUP(WEEKDAY(DATE($A$2,INT((COLUMN()-1)/31.001)+$A$1,ROUNDUP(MOD(COLUMN()-1,31.001),0)),2),Sheet3!$D$1:$E$7,2,0),$NW$21:$NX$35,2,0)="Yes"))</f>
        <v>1</v>
      </c>
      <c r="MH3" s="13" t="b">
        <f>AND(NOT(ISNUMBER(MATCH(DATE($A$2,INT((COLUMN()-1)/31.001)+$A$1,ROUNDUP(MOD(COLUMN()-1,31.001),0)),HolidayList[Date],0))),(VLOOKUP(VLOOKUP(WEEKDAY(DATE($A$2,INT((COLUMN()-1)/31.001)+$A$1,ROUNDUP(MOD(COLUMN()-1,31.001),0)),2),Sheet3!$D$1:$E$7,2,0),$NW$21:$NX$35,2,0)="Yes"))</f>
        <v>1</v>
      </c>
      <c r="MI3" s="13" t="b">
        <f>AND(NOT(ISNUMBER(MATCH(DATE($A$2,INT((COLUMN()-1)/31.001)+$A$1,ROUNDUP(MOD(COLUMN()-1,31.001),0)),HolidayList[Date],0))),(VLOOKUP(VLOOKUP(WEEKDAY(DATE($A$2,INT((COLUMN()-1)/31.001)+$A$1,ROUNDUP(MOD(COLUMN()-1,31.001),0)),2),Sheet3!$D$1:$E$7,2,0),$NW$21:$NX$35,2,0)="Yes"))</f>
        <v>1</v>
      </c>
      <c r="MJ3" s="13" t="b">
        <f>AND(NOT(ISNUMBER(MATCH(DATE($A$2,INT((COLUMN()-1)/31.001)+$A$1,ROUNDUP(MOD(COLUMN()-1,31.001),0)),HolidayList[Date],0))),(VLOOKUP(VLOOKUP(WEEKDAY(DATE($A$2,INT((COLUMN()-1)/31.001)+$A$1,ROUNDUP(MOD(COLUMN()-1,31.001),0)),2),Sheet3!$D$1:$E$7,2,0),$NW$21:$NX$35,2,0)="Yes"))</f>
        <v>0</v>
      </c>
      <c r="MK3" s="13" t="b">
        <f>AND(NOT(ISNUMBER(MATCH(DATE($A$2,INT((COLUMN()-1)/31.001)+$A$1,ROUNDUP(MOD(COLUMN()-1,31.001),0)),HolidayList[Date],0))),(VLOOKUP(VLOOKUP(WEEKDAY(DATE($A$2,INT((COLUMN()-1)/31.001)+$A$1,ROUNDUP(MOD(COLUMN()-1,31.001),0)),2),Sheet3!$D$1:$E$7,2,0),$NW$21:$NX$35,2,0)="Yes"))</f>
        <v>0</v>
      </c>
      <c r="ML3" s="13" t="b">
        <f>AND(NOT(ISNUMBER(MATCH(DATE($A$2,INT((COLUMN()-1)/31.001)+$A$1,ROUNDUP(MOD(COLUMN()-1,31.001),0)),HolidayList[Date],0))),(VLOOKUP(VLOOKUP(WEEKDAY(DATE($A$2,INT((COLUMN()-1)/31.001)+$A$1,ROUNDUP(MOD(COLUMN()-1,31.001),0)),2),Sheet3!$D$1:$E$7,2,0),$NW$21:$NX$35,2,0)="Yes"))</f>
        <v>1</v>
      </c>
      <c r="MM3" s="13" t="b">
        <f>AND(NOT(ISNUMBER(MATCH(DATE($A$2,INT((COLUMN()-1)/31.001)+$A$1,ROUNDUP(MOD(COLUMN()-1,31.001),0)),HolidayList[Date],0))),(VLOOKUP(VLOOKUP(WEEKDAY(DATE($A$2,INT((COLUMN()-1)/31.001)+$A$1,ROUNDUP(MOD(COLUMN()-1,31.001),0)),2),Sheet3!$D$1:$E$7,2,0),$NW$21:$NX$35,2,0)="Yes"))</f>
        <v>1</v>
      </c>
      <c r="MN3" s="13" t="b">
        <f>AND(NOT(ISNUMBER(MATCH(DATE($A$2,INT((COLUMN()-1)/31.001)+$A$1,ROUNDUP(MOD(COLUMN()-1,31.001),0)),HolidayList[Date],0))),(VLOOKUP(VLOOKUP(WEEKDAY(DATE($A$2,INT((COLUMN()-1)/31.001)+$A$1,ROUNDUP(MOD(COLUMN()-1,31.001),0)),2),Sheet3!$D$1:$E$7,2,0),$NW$21:$NX$35,2,0)="Yes"))</f>
        <v>1</v>
      </c>
      <c r="MO3" s="13" t="b">
        <f>AND(NOT(ISNUMBER(MATCH(DATE($A$2,INT((COLUMN()-1)/31.001)+$A$1,ROUNDUP(MOD(COLUMN()-1,31.001),0)),HolidayList[Date],0))),(VLOOKUP(VLOOKUP(WEEKDAY(DATE($A$2,INT((COLUMN()-1)/31.001)+$A$1,ROUNDUP(MOD(COLUMN()-1,31.001),0)),2),Sheet3!$D$1:$E$7,2,0),$NW$21:$NX$35,2,0)="Yes"))</f>
        <v>1</v>
      </c>
      <c r="MP3" s="13" t="b">
        <f>AND(NOT(ISNUMBER(MATCH(DATE($A$2,INT((COLUMN()-1)/31.001)+$A$1,ROUNDUP(MOD(COLUMN()-1,31.001),0)),HolidayList[Date],0))),(VLOOKUP(VLOOKUP(WEEKDAY(DATE($A$2,INT((COLUMN()-1)/31.001)+$A$1,ROUNDUP(MOD(COLUMN()-1,31.001),0)),2),Sheet3!$D$1:$E$7,2,0),$NW$21:$NX$35,2,0)="Yes"))</f>
        <v>1</v>
      </c>
      <c r="MQ3" s="13" t="b">
        <f>AND(NOT(ISNUMBER(MATCH(DATE($A$2,INT((COLUMN()-1)/31.001)+$A$1,ROUNDUP(MOD(COLUMN()-1,31.001),0)),HolidayList[Date],0))),(VLOOKUP(VLOOKUP(WEEKDAY(DATE($A$2,INT((COLUMN()-1)/31.001)+$A$1,ROUNDUP(MOD(COLUMN()-1,31.001),0)),2),Sheet3!$D$1:$E$7,2,0),$NW$21:$NX$35,2,0)="Yes"))</f>
        <v>0</v>
      </c>
      <c r="MR3" s="13" t="b">
        <f>AND(NOT(ISNUMBER(MATCH(DATE($A$2,INT((COLUMN()-1)/31.001)+$A$1,ROUNDUP(MOD(COLUMN()-1,31.001),0)),HolidayList[Date],0))),(VLOOKUP(VLOOKUP(WEEKDAY(DATE($A$2,INT((COLUMN()-1)/31.001)+$A$1,ROUNDUP(MOD(COLUMN()-1,31.001),0)),2),Sheet3!$D$1:$E$7,2,0),$NW$21:$NX$35,2,0)="Yes"))</f>
        <v>0</v>
      </c>
      <c r="MS3" s="13" t="b">
        <f>AND(NOT(ISNUMBER(MATCH(DATE($A$2,INT((COLUMN()-1)/31.001)+$A$1,ROUNDUP(MOD(COLUMN()-1,31.001),0)),HolidayList[Date],0))),(VLOOKUP(VLOOKUP(WEEKDAY(DATE($A$2,INT((COLUMN()-1)/31.001)+$A$1,ROUNDUP(MOD(COLUMN()-1,31.001),0)),2),Sheet3!$D$1:$E$7,2,0),$NW$21:$NX$35,2,0)="Yes"))</f>
        <v>1</v>
      </c>
      <c r="MT3" s="13" t="b">
        <f>AND(NOT(ISNUMBER(MATCH(DATE($A$2,INT((COLUMN()-1)/31.001)+$A$1,ROUNDUP(MOD(COLUMN()-1,31.001),0)),HolidayList[Date],0))),(VLOOKUP(VLOOKUP(WEEKDAY(DATE($A$2,INT((COLUMN()-1)/31.001)+$A$1,ROUNDUP(MOD(COLUMN()-1,31.001),0)),2),Sheet3!$D$1:$E$7,2,0),$NW$21:$NX$35,2,0)="Yes"))</f>
        <v>1</v>
      </c>
      <c r="MU3" s="13" t="b">
        <f>AND(NOT(ISNUMBER(MATCH(DATE($A$2,INT((COLUMN()-1)/31.001)+$A$1,ROUNDUP(MOD(COLUMN()-1,31.001),0)),HolidayList[Date],0))),(VLOOKUP(VLOOKUP(WEEKDAY(DATE($A$2,INT((COLUMN()-1)/31.001)+$A$1,ROUNDUP(MOD(COLUMN()-1,31.001),0)),2),Sheet3!$D$1:$E$7,2,0),$NW$21:$NX$35,2,0)="Yes"))</f>
        <v>1</v>
      </c>
      <c r="MV3" s="13" t="b">
        <f>AND(NOT(ISNUMBER(MATCH(DATE($A$2,INT((COLUMN()-1)/31.001)+$A$1,ROUNDUP(MOD(COLUMN()-1,31.001),0)),HolidayList[Date],0))),(VLOOKUP(VLOOKUP(WEEKDAY(DATE($A$2,INT((COLUMN()-1)/31.001)+$A$1,ROUNDUP(MOD(COLUMN()-1,31.001),0)),2),Sheet3!$D$1:$E$7,2,0),$NW$21:$NX$35,2,0)="Yes"))</f>
        <v>1</v>
      </c>
      <c r="MW3" s="13" t="b">
        <f>AND(NOT(ISNUMBER(MATCH(DATE($A$2,INT((COLUMN()-1)/31.001)+$A$1,ROUNDUP(MOD(COLUMN()-1,31.001),0)),HolidayList[Date],0))),(VLOOKUP(VLOOKUP(WEEKDAY(DATE($A$2,INT((COLUMN()-1)/31.001)+$A$1,ROUNDUP(MOD(COLUMN()-1,31.001),0)),2),Sheet3!$D$1:$E$7,2,0),$NW$21:$NX$35,2,0)="Yes"))</f>
        <v>1</v>
      </c>
      <c r="MX3" s="13" t="b">
        <f>AND(NOT(ISNUMBER(MATCH(DATE($A$2,INT((COLUMN()-1)/31.001)+$A$1,ROUNDUP(MOD(COLUMN()-1,31.001),0)),HolidayList[Date],0))),(VLOOKUP(VLOOKUP(WEEKDAY(DATE($A$2,INT((COLUMN()-1)/31.001)+$A$1,ROUNDUP(MOD(COLUMN()-1,31.001),0)),2),Sheet3!$D$1:$E$7,2,0),$NW$21:$NX$35,2,0)="Yes"))</f>
        <v>0</v>
      </c>
      <c r="MY3" s="13" t="b">
        <f>AND(NOT(ISNUMBER(MATCH(DATE($A$2,INT((COLUMN()-1)/31.001)+$A$1,ROUNDUP(MOD(COLUMN()-1,31.001),0)),HolidayList[Date],0))),(VLOOKUP(VLOOKUP(WEEKDAY(DATE($A$2,INT((COLUMN()-1)/31.001)+$A$1,ROUNDUP(MOD(COLUMN()-1,31.001),0)),2),Sheet3!$D$1:$E$7,2,0),$NW$21:$NX$35,2,0)="Yes"))</f>
        <v>0</v>
      </c>
      <c r="MZ3" s="13" t="b">
        <f>AND(NOT(ISNUMBER(MATCH(DATE($A$2,INT((COLUMN()-1)/31.001)+$A$1,ROUNDUP(MOD(COLUMN()-1,31.001),0)),HolidayList[Date],0))),(VLOOKUP(VLOOKUP(WEEKDAY(DATE($A$2,INT((COLUMN()-1)/31.001)+$A$1,ROUNDUP(MOD(COLUMN()-1,31.001),0)),2),Sheet3!$D$1:$E$7,2,0),$NW$21:$NX$35,2,0)="Yes"))</f>
        <v>1</v>
      </c>
      <c r="NA3" s="13" t="b">
        <f>AND(NOT(ISNUMBER(MATCH(DATE($A$2,INT((COLUMN()-1)/31.001)+$A$1,ROUNDUP(MOD(COLUMN()-1,31.001),0)),HolidayList[Date],0))),(VLOOKUP(VLOOKUP(WEEKDAY(DATE($A$2,INT((COLUMN()-1)/31.001)+$A$1,ROUNDUP(MOD(COLUMN()-1,31.001),0)),2),Sheet3!$D$1:$E$7,2,0),$NW$21:$NX$35,2,0)="Yes"))</f>
        <v>1</v>
      </c>
      <c r="NB3" s="13" t="b">
        <f>AND(NOT(ISNUMBER(MATCH(DATE($A$2,INT((COLUMN()-1)/31.001)+$A$1,ROUNDUP(MOD(COLUMN()-1,31.001),0)),HolidayList[Date],0))),(VLOOKUP(VLOOKUP(WEEKDAY(DATE($A$2,INT((COLUMN()-1)/31.001)+$A$1,ROUNDUP(MOD(COLUMN()-1,31.001),0)),2),Sheet3!$D$1:$E$7,2,0),$NW$21:$NX$35,2,0)="Yes"))</f>
        <v>1</v>
      </c>
      <c r="NC3" s="13" t="b">
        <f>AND(NOT(ISNUMBER(MATCH(DATE($A$2,INT((COLUMN()-1)/31.001)+$A$1,ROUNDUP(MOD(COLUMN()-1,31.001),0)),HolidayList[Date],0))),(VLOOKUP(VLOOKUP(WEEKDAY(DATE($A$2,INT((COLUMN()-1)/31.001)+$A$1,ROUNDUP(MOD(COLUMN()-1,31.001),0)),2),Sheet3!$D$1:$E$7,2,0),$NW$21:$NX$35,2,0)="Yes"))</f>
        <v>1</v>
      </c>
      <c r="ND3" s="13" t="b">
        <f>AND(NOT(ISNUMBER(MATCH(DATE($A$2,INT((COLUMN()-1)/31.001)+$A$1,ROUNDUP(MOD(COLUMN()-1,31.001),0)),HolidayList[Date],0))),(VLOOKUP(VLOOKUP(WEEKDAY(DATE($A$2,INT((COLUMN()-1)/31.001)+$A$1,ROUNDUP(MOD(COLUMN()-1,31.001),0)),2),Sheet3!$D$1:$E$7,2,0),$NW$21:$NX$35,2,0)="Yes"))</f>
        <v>1</v>
      </c>
      <c r="NE3" s="13" t="b">
        <f>AND(NOT(ISNUMBER(MATCH(DATE($A$2,INT((COLUMN()-1)/31.001)+$A$1,ROUNDUP(MOD(COLUMN()-1,31.001),0)),HolidayList[Date],0))),(VLOOKUP(VLOOKUP(WEEKDAY(DATE($A$2,INT((COLUMN()-1)/31.001)+$A$1,ROUNDUP(MOD(COLUMN()-1,31.001),0)),2),Sheet3!$D$1:$E$7,2,0),$NW$21:$NX$35,2,0)="Yes"))</f>
        <v>0</v>
      </c>
      <c r="NF3" s="13" t="b">
        <f>AND(NOT(ISNUMBER(MATCH(DATE($A$2,INT((COLUMN()-1)/31.001)+$A$1,ROUNDUP(MOD(COLUMN()-1,31.001),0)),HolidayList[Date],0))),(VLOOKUP(VLOOKUP(WEEKDAY(DATE($A$2,INT((COLUMN()-1)/31.001)+$A$1,ROUNDUP(MOD(COLUMN()-1,31.001),0)),2),Sheet3!$D$1:$E$7,2,0),$NW$21:$NX$35,2,0)="Yes"))</f>
        <v>0</v>
      </c>
      <c r="NG3" s="13" t="b">
        <f>AND(NOT(ISNUMBER(MATCH(DATE($A$2,INT((COLUMN()-1)/31.001)+$A$1,ROUNDUP(MOD(COLUMN()-1,31.001),0)),HolidayList[Date],0))),(VLOOKUP(VLOOKUP(WEEKDAY(DATE($A$2,INT((COLUMN()-1)/31.001)+$A$1,ROUNDUP(MOD(COLUMN()-1,31.001),0)),2),Sheet3!$D$1:$E$7,2,0),$NW$21:$NX$35,2,0)="Yes"))</f>
        <v>1</v>
      </c>
      <c r="NH3" s="13" t="b">
        <f>AND(NOT(ISNUMBER(MATCH(DATE($A$2,INT((COLUMN()-1)/31.001)+$A$1,ROUNDUP(MOD(COLUMN()-1,31.001),0)),HolidayList[Date],0))),(VLOOKUP(VLOOKUP(WEEKDAY(DATE($A$2,INT((COLUMN()-1)/31.001)+$A$1,ROUNDUP(MOD(COLUMN()-1,31.001),0)),2),Sheet3!$D$1:$E$7,2,0),$NW$21:$NX$35,2,0)="Yes"))</f>
        <v>1</v>
      </c>
      <c r="NI3" s="13" t="b">
        <f>AND(NOT(ISNUMBER(MATCH(DATE($A$2,INT((COLUMN()-1)/31.001)+$A$1,ROUNDUP(MOD(COLUMN()-1,31.001),0)),HolidayList[Date],0))),(VLOOKUP(VLOOKUP(WEEKDAY(DATE($A$2,INT((COLUMN()-1)/31.001)+$A$1,ROUNDUP(MOD(COLUMN()-1,31.001),0)),2),Sheet3!$D$1:$E$7,2,0),$NW$21:$NX$35,2,0)="Yes"))</f>
        <v>1</v>
      </c>
      <c r="NJ3" s="13" t="b">
        <f>AND(NOT(ISNUMBER(MATCH(DATE($A$2,INT((COLUMN()-1)/31.001)+$A$1,ROUNDUP(MOD(COLUMN()-1,31.001),0)),HolidayList[Date],0))),(VLOOKUP(VLOOKUP(WEEKDAY(DATE($A$2,INT((COLUMN()-1)/31.001)+$A$1,ROUNDUP(MOD(COLUMN()-1,31.001),0)),2),Sheet3!$D$1:$E$7,2,0),$NW$21:$NX$35,2,0)="Yes"))</f>
        <v>1</v>
      </c>
      <c r="NK3" s="2"/>
      <c r="NL3" s="2"/>
      <c r="NM3" s="2"/>
      <c r="NN3" s="2"/>
      <c r="NO3" s="2"/>
      <c r="NP3" s="2"/>
      <c r="NQ3" s="2"/>
      <c r="NR3" s="2"/>
      <c r="NS3" s="2"/>
      <c r="NT3" s="2"/>
      <c r="NU3" s="2"/>
      <c r="NV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c r="SV3" s="2"/>
      <c r="SW3" s="2"/>
      <c r="SX3" s="2"/>
      <c r="SY3" s="2"/>
      <c r="SZ3" s="2"/>
      <c r="TA3" s="2"/>
      <c r="TB3" s="2"/>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row>
    <row r="4" spans="1:761" x14ac:dyDescent="0.25">
      <c r="A4" s="4"/>
      <c r="B4" s="13" t="b">
        <f>IFERROR(IF(AND(VLOOKUP(B6,$NW$21:$NX$35,2,0)="Yes",NOT(ISNUMBER(VLOOKUP(DATE($A$2,$A$3+$A$1-1,B5),HolidayList[Date],1,0)))),TRUE,FALSE),FALSE)</f>
        <v>0</v>
      </c>
      <c r="C4" s="13" t="b">
        <f>IFERROR(IF(AND(VLOOKUP(C6,$NW$21:$NX$35,2,0)="Yes",NOT(ISNUMBER(VLOOKUP(DATE($A$2,$A$3+$A$1-1,C5),HolidayList[Date],1,0)))),TRUE,FALSE),FALSE)</f>
        <v>0</v>
      </c>
      <c r="D4" s="13" t="b">
        <f>IFERROR(IF(AND(VLOOKUP(D6,$NW$21:$NX$35,2,0)="Yes",NOT(ISNUMBER(VLOOKUP(DATE($A$2,$A$3+$A$1-1,D5),HolidayList[Date],1,0)))),TRUE,FALSE),FALSE)</f>
        <v>0</v>
      </c>
      <c r="E4" s="13" t="b">
        <f>IFERROR(IF(AND(VLOOKUP(E6,$NW$21:$NX$35,2,0)="Yes",NOT(ISNUMBER(VLOOKUP(DATE($A$2,$A$3+$A$1-1,E5),HolidayList[Date],1,0)))),TRUE,FALSE),FALSE)</f>
        <v>0</v>
      </c>
      <c r="F4" s="13" t="b">
        <f>IFERROR(IF(AND(VLOOKUP(F6,$NW$21:$NX$35,2,0)="Yes",NOT(ISNUMBER(VLOOKUP(DATE($A$2,$A$3+$A$1-1,F5),HolidayList[Date],1,0)))),TRUE,FALSE),FALSE)</f>
        <v>0</v>
      </c>
      <c r="G4" s="13" t="b">
        <f>IFERROR(IF(AND(VLOOKUP(G6,$NW$21:$NX$35,2,0)="Yes",NOT(ISNUMBER(VLOOKUP(DATE($A$2,$A$3+$A$1-1,G5),HolidayList[Date],1,0)))),TRUE,FALSE),FALSE)</f>
        <v>0</v>
      </c>
      <c r="H4" s="13" t="b">
        <f>IFERROR(IF(AND(VLOOKUP(H6,$NW$21:$NX$35,2,0)="Yes",NOT(ISNUMBER(VLOOKUP(DATE($A$2,$A$3+$A$1-1,H5),HolidayList[Date],1,0)))),TRUE,FALSE),FALSE)</f>
        <v>0</v>
      </c>
      <c r="I4" s="13" t="b">
        <f>IFERROR(IF(AND(VLOOKUP(I6,$NW$21:$NX$35,2,0)="Yes",NOT(ISNUMBER(VLOOKUP(DATE($A$2,$A$3+$A$1-1,I5),HolidayList[Date],1,0)))),TRUE,FALSE),FALSE)</f>
        <v>0</v>
      </c>
      <c r="J4" s="13" t="b">
        <f>IFERROR(IF(AND(VLOOKUP(J6,$NW$21:$NX$35,2,0)="Yes",NOT(ISNUMBER(VLOOKUP(DATE($A$2,$A$3+$A$1-1,J5),HolidayList[Date],1,0)))),TRUE,FALSE),FALSE)</f>
        <v>0</v>
      </c>
      <c r="K4" s="13" t="b">
        <f>IFERROR(IF(AND(VLOOKUP(K6,$NW$21:$NX$35,2,0)="Yes",NOT(ISNUMBER(VLOOKUP(DATE($A$2,$A$3+$A$1-1,K5),HolidayList[Date],1,0)))),TRUE,FALSE),FALSE)</f>
        <v>0</v>
      </c>
      <c r="L4" s="13" t="b">
        <f>IFERROR(IF(AND(VLOOKUP(L6,$NW$21:$NX$35,2,0)="Yes",NOT(ISNUMBER(VLOOKUP(DATE($A$2,$A$3+$A$1-1,L5),HolidayList[Date],1,0)))),TRUE,FALSE),FALSE)</f>
        <v>0</v>
      </c>
      <c r="M4" s="13" t="b">
        <f>IFERROR(IF(AND(VLOOKUP(M6,$NW$21:$NX$35,2,0)="Yes",NOT(ISNUMBER(VLOOKUP(DATE($A$2,$A$3+$A$1-1,M5),HolidayList[Date],1,0)))),TRUE,FALSE),FALSE)</f>
        <v>0</v>
      </c>
      <c r="N4" s="13" t="b">
        <f>IFERROR(IF(AND(VLOOKUP(N6,$NW$21:$NX$35,2,0)="Yes",NOT(ISNUMBER(VLOOKUP(DATE($A$2,$A$3+$A$1-1,N5),HolidayList[Date],1,0)))),TRUE,FALSE),FALSE)</f>
        <v>0</v>
      </c>
      <c r="O4" s="13" t="b">
        <f>IFERROR(IF(AND(VLOOKUP(O6,$NW$21:$NX$35,2,0)="Yes",NOT(ISNUMBER(VLOOKUP(DATE($A$2,$A$3+$A$1-1,O5),HolidayList[Date],1,0)))),TRUE,FALSE),FALSE)</f>
        <v>0</v>
      </c>
      <c r="P4" s="13" t="b">
        <f>IFERROR(IF(AND(VLOOKUP(P6,$NW$21:$NX$35,2,0)="Yes",NOT(ISNUMBER(VLOOKUP(DATE($A$2,$A$3+$A$1-1,P5),HolidayList[Date],1,0)))),TRUE,FALSE),FALSE)</f>
        <v>0</v>
      </c>
      <c r="Q4" s="13" t="b">
        <f>IFERROR(IF(AND(VLOOKUP(Q6,$NW$21:$NX$35,2,0)="Yes",NOT(ISNUMBER(VLOOKUP(DATE($A$2,$A$3+$A$1-1,Q5),HolidayList[Date],1,0)))),TRUE,FALSE),FALSE)</f>
        <v>0</v>
      </c>
      <c r="R4" s="13" t="b">
        <f>IFERROR(IF(AND(VLOOKUP(R6,$NW$21:$NX$35,2,0)="Yes",NOT(ISNUMBER(VLOOKUP(DATE($A$2,$A$3+$A$1-1,R5),HolidayList[Date],1,0)))),TRUE,FALSE),FALSE)</f>
        <v>0</v>
      </c>
      <c r="S4" s="13" t="b">
        <f>IFERROR(IF(AND(VLOOKUP(S6,$NW$21:$NX$35,2,0)="Yes",NOT(ISNUMBER(VLOOKUP(DATE($A$2,$A$3+$A$1-1,S5),HolidayList[Date],1,0)))),TRUE,FALSE),FALSE)</f>
        <v>0</v>
      </c>
      <c r="T4" s="13" t="b">
        <f>IFERROR(IF(AND(VLOOKUP(T6,$NW$21:$NX$35,2,0)="Yes",NOT(ISNUMBER(VLOOKUP(DATE($A$2,$A$3+$A$1-1,T5),HolidayList[Date],1,0)))),TRUE,FALSE),FALSE)</f>
        <v>0</v>
      </c>
      <c r="U4" s="13" t="b">
        <f>IFERROR(IF(AND(VLOOKUP(U6,$NW$21:$NX$35,2,0)="Yes",NOT(ISNUMBER(VLOOKUP(DATE($A$2,$A$3+$A$1-1,U5),HolidayList[Date],1,0)))),TRUE,FALSE),FALSE)</f>
        <v>0</v>
      </c>
      <c r="V4" s="13" t="b">
        <f>IFERROR(IF(AND(VLOOKUP(V6,$NW$21:$NX$35,2,0)="Yes",NOT(ISNUMBER(VLOOKUP(DATE($A$2,$A$3+$A$1-1,V5),HolidayList[Date],1,0)))),TRUE,FALSE),FALSE)</f>
        <v>0</v>
      </c>
      <c r="W4" s="13" t="b">
        <f>IFERROR(IF(AND(VLOOKUP(W6,$NW$21:$NX$35,2,0)="Yes",NOT(ISNUMBER(VLOOKUP(DATE($A$2,$A$3+$A$1-1,W5),HolidayList[Date],1,0)))),TRUE,FALSE),FALSE)</f>
        <v>0</v>
      </c>
      <c r="X4" s="13" t="b">
        <f>IFERROR(IF(AND(VLOOKUP(X6,$NW$21:$NX$35,2,0)="Yes",NOT(ISNUMBER(VLOOKUP(DATE($A$2,$A$3+$A$1-1,X5),HolidayList[Date],1,0)))),TRUE,FALSE),FALSE)</f>
        <v>0</v>
      </c>
      <c r="Y4" s="13" t="b">
        <f>IFERROR(IF(AND(VLOOKUP(Y6,$NW$21:$NX$35,2,0)="Yes",NOT(ISNUMBER(VLOOKUP(DATE($A$2,$A$3+$A$1-1,Y5),HolidayList[Date],1,0)))),TRUE,FALSE),FALSE)</f>
        <v>0</v>
      </c>
      <c r="Z4" s="13" t="b">
        <f>IFERROR(IF(AND(VLOOKUP(Z6,$NW$21:$NX$35,2,0)="Yes",NOT(ISNUMBER(VLOOKUP(DATE($A$2,$A$3+$A$1-1,Z5),HolidayList[Date],1,0)))),TRUE,FALSE),FALSE)</f>
        <v>0</v>
      </c>
      <c r="AA4" s="13" t="b">
        <f>IFERROR(IF(AND(VLOOKUP(AA6,$NW$21:$NX$35,2,0)="Yes",NOT(ISNUMBER(VLOOKUP(DATE($A$2,$A$3+$A$1-1,AA5),HolidayList[Date],1,0)))),TRUE,FALSE),FALSE)</f>
        <v>0</v>
      </c>
      <c r="AB4" s="13" t="b">
        <f>IFERROR(IF(AND(VLOOKUP(AB6,$NW$21:$NX$35,2,0)="Yes",NOT(ISNUMBER(VLOOKUP(DATE($A$2,$A$3+$A$1-1,AB5),HolidayList[Date],1,0)))),TRUE,FALSE),FALSE)</f>
        <v>0</v>
      </c>
      <c r="AC4" s="13" t="b">
        <f>IFERROR(IF(AND(VLOOKUP(AC6,$NW$21:$NX$35,2,0)="Yes",NOT(ISNUMBER(VLOOKUP(DATE($A$2,$A$3+$A$1-1,AC5),HolidayList[Date],1,0)))),TRUE,FALSE),FALSE)</f>
        <v>0</v>
      </c>
      <c r="AD4" s="13" t="b">
        <f>IFERROR(IF(AND(VLOOKUP(AD6,$NW$21:$NX$35,2,0)="Yes",NOT(ISNUMBER(VLOOKUP(DATE($A$2,$A$3+$A$1-1,AD5),HolidayList[Date],1,0)))),TRUE,FALSE),FALSE)</f>
        <v>0</v>
      </c>
      <c r="AE4" s="13" t="b">
        <f>IFERROR(IF(AND(VLOOKUP(AE6,$NW$21:$NX$35,2,0)="Yes",NOT(ISNUMBER(VLOOKUP(DATE($A$2,$A$3+$A$1-1,AE5),HolidayList[Date],1,0)))),TRUE,FALSE),FALSE)</f>
        <v>0</v>
      </c>
      <c r="AF4" s="13" t="b">
        <f>IFERROR(IF(AND(VLOOKUP(AF6,$NW$21:$NX$35,2,0)="Yes",NOT(ISNUMBER(VLOOKUP(DATE($A$2,$A$3+$A$1-1,AF5),HolidayList[Date],1,0)))),TRUE,FALSE),FALSE)</f>
        <v>0</v>
      </c>
      <c r="AG4" s="13" t="b">
        <f>IFERROR(IF(AND(VLOOKUP(AG6,$NW$21:$NX$35,2,0)="Yes",NOT(ISNUMBER(VLOOKUP(DATE($A$2,$A$3+$A$1-1,AG5),HolidayList[Date],1,0)))),TRUE,FALSE),FALSE)</f>
        <v>0</v>
      </c>
      <c r="AH4" s="13" t="b">
        <f>IFERROR(IF(AND(VLOOKUP(AH6,$NW$21:$NX$35,2,0)="Yes",NOT(ISNUMBER(VLOOKUP(DATE($A$2,$A$3+$A$1-1,AH5),HolidayList[Date],1,0)))),TRUE,FALSE),FALSE)</f>
        <v>0</v>
      </c>
      <c r="AI4" s="13" t="b">
        <f>IFERROR(IF(AND(VLOOKUP(AI6,$NW$21:$NX$35,2,0)="Yes",NOT(ISNUMBER(VLOOKUP(DATE($A$2,$A$3+$A$1-1,AI5),HolidayList[Date],1,0)))),TRUE,FALSE),FALSE)</f>
        <v>0</v>
      </c>
      <c r="AJ4" s="13" t="b">
        <f>IFERROR(IF(AND(VLOOKUP(AJ6,$NW$21:$NX$35,2,0)="Yes",NOT(ISNUMBER(VLOOKUP(DATE($A$2,$A$3+$A$1-1,AJ5),HolidayList[Date],1,0)))),TRUE,FALSE),FALSE)</f>
        <v>0</v>
      </c>
      <c r="AK4" s="13" t="b">
        <f>IFERROR(IF(AND(VLOOKUP(AK6,$NW$21:$NX$35,2,0)="Yes",NOT(ISNUMBER(VLOOKUP(DATE($A$2,$A$3+$A$1-1,AK5),HolidayList[Date],1,0)))),TRUE,FALSE),FALSE)</f>
        <v>0</v>
      </c>
      <c r="AL4" s="13" t="b">
        <f>IFERROR(IF(AND(VLOOKUP(AL6,$NW$21:$NX$35,2,0)="Yes",NOT(ISNUMBER(VLOOKUP(DATE($A$2,$A$3+$A$1-1,AL5),HolidayList[Date],1,0)))),TRUE,FALSE),FALSE)</f>
        <v>0</v>
      </c>
      <c r="AM4" s="13" t="b">
        <f>IFERROR(IF(AND(VLOOKUP(AM6,$NW$21:$NX$35,2,0)="Yes",NOT(ISNUMBER(VLOOKUP(DATE($A$2,$A$3+$A$1-1,AM5),HolidayList[Date],1,0)))),TRUE,FALSE),FALSE)</f>
        <v>0</v>
      </c>
      <c r="AN4" s="13" t="b">
        <f>IFERROR(IF(AND(VLOOKUP(AN6,$NW$21:$NX$35,2,0)="Yes",NOT(ISNUMBER(VLOOKUP(DATE($A$2,$A$3+$A$1-1,AN5),HolidayList[Date],1,0)))),TRUE,FALSE),FALSE)</f>
        <v>0</v>
      </c>
      <c r="AO4" s="13" t="b">
        <f>IFERROR(IF(AND(VLOOKUP(AO6,$NW$21:$NX$35,2,0)="Yes",NOT(ISNUMBER(VLOOKUP(DATE($A$2,$A$3+$A$1-1,AO5),HolidayList[Date],1,0)))),TRUE,FALSE),FALSE)</f>
        <v>0</v>
      </c>
      <c r="AP4" s="13" t="b">
        <f>IFERROR(IF(AND(VLOOKUP(AP6,$NW$21:$NX$35,2,0)="Yes",NOT(ISNUMBER(VLOOKUP(DATE($A$2,$A$3+$A$1-1,AP5),HolidayList[Date],1,0)))),TRUE,FALSE),FALSE)</f>
        <v>0</v>
      </c>
      <c r="AQ4" s="13" t="b">
        <f>IFERROR(IF(AND(VLOOKUP(AQ6,$NW$21:$NX$35,2,0)="Yes",NOT(ISNUMBER(VLOOKUP(DATE($A$2,$A$3+$A$1-1,AQ5),HolidayList[Date],1,0)))),TRUE,FALSE),FALSE)</f>
        <v>0</v>
      </c>
      <c r="AR4" s="13" t="b">
        <f>IFERROR(IF(AND(VLOOKUP(AR6,$NW$21:$NX$35,2,0)="Yes",NOT(ISNUMBER(VLOOKUP(DATE($A$2,$A$3+$A$1-1,AR5),HolidayList[Date],1,0)))),TRUE,FALSE),FALSE)</f>
        <v>0</v>
      </c>
      <c r="AS4" s="13" t="b">
        <f>IFERROR(IF(AND(VLOOKUP(AS6,$NW$21:$NX$35,2,0)="Yes",NOT(ISNUMBER(VLOOKUP(DATE($A$2,$A$3+$A$1-1,AS5),HolidayList[Date],1,0)))),TRUE,FALSE),FALSE)</f>
        <v>0</v>
      </c>
      <c r="AT4" s="13" t="b">
        <f>IFERROR(IF(AND(VLOOKUP(AT6,$NW$21:$NX$35,2,0)="Yes",NOT(ISNUMBER(VLOOKUP(DATE($A$2,$A$3+$A$1-1,AT5),HolidayList[Date],1,0)))),TRUE,FALSE),FALSE)</f>
        <v>0</v>
      </c>
      <c r="AU4" s="13" t="b">
        <f>IFERROR(IF(AND(VLOOKUP(AU6,$NW$21:$NX$35,2,0)="Yes",NOT(ISNUMBER(VLOOKUP(DATE($A$2,$A$3+$A$1-1,AU5),HolidayList[Date],1,0)))),TRUE,FALSE),FALSE)</f>
        <v>0</v>
      </c>
      <c r="AV4" s="13" t="b">
        <f>IFERROR(IF(AND(VLOOKUP(AV6,$NW$21:$NX$35,2,0)="Yes",NOT(ISNUMBER(VLOOKUP(DATE($A$2,$A$3+$A$1-1,AV5),HolidayList[Date],1,0)))),TRUE,FALSE),FALSE)</f>
        <v>0</v>
      </c>
      <c r="AW4" s="13" t="b">
        <f>IFERROR(IF(AND(VLOOKUP(AW6,$NW$21:$NX$35,2,0)="Yes",NOT(ISNUMBER(VLOOKUP(DATE($A$2,$A$3+$A$1-1,AW5),HolidayList[Date],1,0)))),TRUE,FALSE),FALSE)</f>
        <v>0</v>
      </c>
      <c r="AX4" s="13" t="b">
        <f>IFERROR(IF(AND(VLOOKUP(AX6,$NW$21:$NX$35,2,0)="Yes",NOT(ISNUMBER(VLOOKUP(DATE($A$2,$A$3+$A$1-1,AX5),HolidayList[Date],1,0)))),TRUE,FALSE),FALSE)</f>
        <v>0</v>
      </c>
      <c r="AY4" s="13" t="b">
        <f>IFERROR(IF(AND(VLOOKUP(AY6,$NW$21:$NX$35,2,0)="Yes",NOT(ISNUMBER(VLOOKUP(DATE($A$2,$A$3+$A$1-1,AY5),HolidayList[Date],1,0)))),TRUE,FALSE),FALSE)</f>
        <v>0</v>
      </c>
      <c r="AZ4" s="13" t="b">
        <f>IFERROR(IF(AND(VLOOKUP(AZ6,$NW$21:$NX$35,2,0)="Yes",NOT(ISNUMBER(VLOOKUP(DATE($A$2,$A$3+$A$1-1,AZ5),HolidayList[Date],1,0)))),TRUE,FALSE),FALSE)</f>
        <v>0</v>
      </c>
      <c r="BA4" s="13" t="b">
        <f>IFERROR(IF(AND(VLOOKUP(BA6,$NW$21:$NX$35,2,0)="Yes",NOT(ISNUMBER(VLOOKUP(DATE($A$2,$A$3+$A$1-1,BA5),HolidayList[Date],1,0)))),TRUE,FALSE),FALSE)</f>
        <v>0</v>
      </c>
      <c r="BB4" s="13" t="b">
        <f>IFERROR(IF(AND(VLOOKUP(BB6,$NW$21:$NX$35,2,0)="Yes",NOT(ISNUMBER(VLOOKUP(DATE($A$2,$A$3+$A$1-1,BB5),HolidayList[Date],1,0)))),TRUE,FALSE),FALSE)</f>
        <v>0</v>
      </c>
      <c r="BC4" s="13" t="b">
        <f>IFERROR(IF(AND(VLOOKUP(BC6,$NW$21:$NX$35,2,0)="Yes",NOT(ISNUMBER(VLOOKUP(DATE($A$2,$A$3+$A$1-1,BC5),HolidayList[Date],1,0)))),TRUE,FALSE),FALSE)</f>
        <v>0</v>
      </c>
      <c r="BD4" s="13" t="b">
        <f>IFERROR(IF(AND(VLOOKUP(BD6,$NW$21:$NX$35,2,0)="Yes",NOT(ISNUMBER(VLOOKUP(DATE($A$2,$A$3+$A$1-1,BD5),HolidayList[Date],1,0)))),TRUE,FALSE),FALSE)</f>
        <v>0</v>
      </c>
      <c r="BE4" s="13" t="b">
        <f>IFERROR(IF(AND(VLOOKUP(BE6,$NW$21:$NX$35,2,0)="Yes",NOT(ISNUMBER(VLOOKUP(DATE($A$2,$A$3+$A$1-1,BE5),HolidayList[Date],1,0)))),TRUE,FALSE),FALSE)</f>
        <v>0</v>
      </c>
      <c r="BF4" s="13" t="b">
        <f>IFERROR(IF(AND(VLOOKUP(BF6,$NW$21:$NX$35,2,0)="Yes",NOT(ISNUMBER(VLOOKUP(DATE($A$2,$A$3+$A$1-1,BF5),HolidayList[Date],1,0)))),TRUE,FALSE),FALSE)</f>
        <v>0</v>
      </c>
      <c r="BG4" s="13" t="b">
        <f>IFERROR(IF(AND(VLOOKUP(BG6,$NW$21:$NX$35,2,0)="Yes",NOT(ISNUMBER(VLOOKUP(DATE($A$2,$A$3+$A$1-1,BG5),HolidayList[Date],1,0)))),TRUE,FALSE),FALSE)</f>
        <v>0</v>
      </c>
      <c r="BH4" s="13" t="b">
        <f>IFERROR(IF(AND(VLOOKUP(BH6,$NW$21:$NX$35,2,0)="Yes",NOT(ISNUMBER(VLOOKUP(DATE($A$2,$A$3+$A$1-1,BH5),HolidayList[Date],1,0)))),TRUE,FALSE),FALSE)</f>
        <v>0</v>
      </c>
      <c r="BI4" s="13" t="b">
        <f>IFERROR(IF(AND(VLOOKUP(BI6,$NW$21:$NX$35,2,0)="Yes",NOT(ISNUMBER(VLOOKUP(DATE($A$2,$A$3+$A$1-1,BI5),HolidayList[Date],1,0)))),TRUE,FALSE),FALSE)</f>
        <v>0</v>
      </c>
      <c r="BJ4" s="13" t="b">
        <f>IFERROR(IF(AND(VLOOKUP(BJ6,$NW$21:$NX$35,2,0)="Yes",NOT(ISNUMBER(VLOOKUP(DATE($A$2,$A$3+$A$1-1,BJ5),HolidayList[Date],1,0)))),TRUE,FALSE),FALSE)</f>
        <v>0</v>
      </c>
      <c r="BK4" s="13" t="b">
        <f>IFERROR(IF(AND(VLOOKUP(BK6,$NW$21:$NX$35,2,0)="Yes",NOT(ISNUMBER(VLOOKUP(DATE($A$2,$A$3+$A$1-1,BK5),HolidayList[Date],1,0)))),TRUE,FALSE),FALSE)</f>
        <v>0</v>
      </c>
      <c r="BL4" s="13" t="b">
        <f>IFERROR(IF(AND(VLOOKUP(BL6,$NW$21:$NX$35,2,0)="Yes",NOT(ISNUMBER(VLOOKUP(DATE($A$2,$A$3+$A$1-1,BL5),HolidayList[Date],1,0)))),TRUE,FALSE),FALSE)</f>
        <v>0</v>
      </c>
      <c r="BM4" s="13" t="b">
        <f>IFERROR(IF(AND(VLOOKUP(BM6,$NW$21:$NX$35,2,0)="Yes",NOT(ISNUMBER(VLOOKUP(DATE($A$2,$A$3+$A$1-1,BM5),HolidayList[Date],1,0)))),TRUE,FALSE),FALSE)</f>
        <v>0</v>
      </c>
      <c r="BN4" s="13" t="b">
        <f>IFERROR(IF(AND(VLOOKUP(BN6,$NW$21:$NX$35,2,0)="Yes",NOT(ISNUMBER(VLOOKUP(DATE($A$2,$A$3+$A$1-1,BN5),HolidayList[Date],1,0)))),TRUE,FALSE),FALSE)</f>
        <v>0</v>
      </c>
      <c r="BO4" s="13" t="b">
        <f>IFERROR(IF(AND(VLOOKUP(BO6,$NW$21:$NX$35,2,0)="Yes",NOT(ISNUMBER(VLOOKUP(DATE($A$2,$A$3+$A$1-1,BO5),HolidayList[Date],1,0)))),TRUE,FALSE),FALSE)</f>
        <v>0</v>
      </c>
      <c r="BP4" s="13" t="b">
        <f>IFERROR(IF(AND(VLOOKUP(BP6,$NW$21:$NX$35,2,0)="Yes",NOT(ISNUMBER(VLOOKUP(DATE($A$2,$A$3+$A$1-1,BP5),HolidayList[Date],1,0)))),TRUE,FALSE),FALSE)</f>
        <v>0</v>
      </c>
      <c r="BQ4" s="13" t="b">
        <f>IFERROR(IF(AND(VLOOKUP(BQ6,$NW$21:$NX$35,2,0)="Yes",NOT(ISNUMBER(VLOOKUP(DATE($A$2,$A$3+$A$1-1,BQ5),HolidayList[Date],1,0)))),TRUE,FALSE),FALSE)</f>
        <v>0</v>
      </c>
      <c r="BR4" s="13" t="b">
        <f>IFERROR(IF(AND(VLOOKUP(BR6,$NW$21:$NX$35,2,0)="Yes",NOT(ISNUMBER(VLOOKUP(DATE($A$2,$A$3+$A$1-1,BR5),HolidayList[Date],1,0)))),TRUE,FALSE),FALSE)</f>
        <v>0</v>
      </c>
      <c r="BS4" s="13" t="b">
        <f>IFERROR(IF(AND(VLOOKUP(BS6,$NW$21:$NX$35,2,0)="Yes",NOT(ISNUMBER(VLOOKUP(DATE($A$2,$A$3+$A$1-1,BS5),HolidayList[Date],1,0)))),TRUE,FALSE),FALSE)</f>
        <v>0</v>
      </c>
      <c r="BT4" s="13" t="b">
        <f>IFERROR(IF(AND(VLOOKUP(BT6,$NW$21:$NX$35,2,0)="Yes",NOT(ISNUMBER(VLOOKUP(DATE($A$2,$A$3+$A$1-1,BT5),HolidayList[Date],1,0)))),TRUE,FALSE),FALSE)</f>
        <v>0</v>
      </c>
      <c r="BU4" s="13" t="b">
        <f>IFERROR(IF(AND(VLOOKUP(BU6,$NW$21:$NX$35,2,0)="Yes",NOT(ISNUMBER(VLOOKUP(DATE($A$2,$A$3+$A$1-1,BU5),HolidayList[Date],1,0)))),TRUE,FALSE),FALSE)</f>
        <v>0</v>
      </c>
      <c r="BV4" s="13" t="b">
        <f>IFERROR(IF(AND(VLOOKUP(BV6,$NW$21:$NX$35,2,0)="Yes",NOT(ISNUMBER(VLOOKUP(DATE($A$2,$A$3+$A$1-1,BV5),HolidayList[Date],1,0)))),TRUE,FALSE),FALSE)</f>
        <v>0</v>
      </c>
      <c r="BW4" s="13" t="b">
        <f>IFERROR(IF(AND(VLOOKUP(BW6,$NW$21:$NX$35,2,0)="Yes",NOT(ISNUMBER(VLOOKUP(DATE($A$2,$A$3+$A$1-1,BW5),HolidayList[Date],1,0)))),TRUE,FALSE),FALSE)</f>
        <v>0</v>
      </c>
      <c r="BX4" s="13" t="b">
        <f>IFERROR(IF(AND(VLOOKUP(BX6,$NW$21:$NX$35,2,0)="Yes",NOT(ISNUMBER(VLOOKUP(DATE($A$2,$A$3+$A$1-1,BX5),HolidayList[Date],1,0)))),TRUE,FALSE),FALSE)</f>
        <v>0</v>
      </c>
      <c r="BY4" s="13" t="b">
        <f>IFERROR(IF(AND(VLOOKUP(BY6,$NW$21:$NX$35,2,0)="Yes",NOT(ISNUMBER(VLOOKUP(DATE($A$2,$A$3+$A$1-1,BY5),HolidayList[Date],1,0)))),TRUE,FALSE),FALSE)</f>
        <v>0</v>
      </c>
      <c r="BZ4" s="13" t="b">
        <f>IFERROR(IF(AND(VLOOKUP(BZ6,$NW$21:$NX$35,2,0)="Yes",NOT(ISNUMBER(VLOOKUP(DATE($A$2,$A$3+$A$1-1,BZ5),HolidayList[Date],1,0)))),TRUE,FALSE),FALSE)</f>
        <v>0</v>
      </c>
      <c r="CA4" s="13" t="b">
        <f>IFERROR(IF(AND(VLOOKUP(CA6,$NW$21:$NX$35,2,0)="Yes",NOT(ISNUMBER(VLOOKUP(DATE($A$2,$A$3+$A$1-1,CA5),HolidayList[Date],1,0)))),TRUE,FALSE),FALSE)</f>
        <v>0</v>
      </c>
      <c r="CB4" s="13" t="b">
        <f>IFERROR(IF(AND(VLOOKUP(CB6,$NW$21:$NX$35,2,0)="Yes",NOT(ISNUMBER(VLOOKUP(DATE($A$2,$A$3+$A$1-1,CB5),HolidayList[Date],1,0)))),TRUE,FALSE),FALSE)</f>
        <v>0</v>
      </c>
      <c r="CC4" s="13" t="b">
        <f>IFERROR(IF(AND(VLOOKUP(CC6,$NW$21:$NX$35,2,0)="Yes",NOT(ISNUMBER(VLOOKUP(DATE($A$2,$A$3+$A$1-1,CC5),HolidayList[Date],1,0)))),TRUE,FALSE),FALSE)</f>
        <v>0</v>
      </c>
      <c r="CD4" s="13" t="b">
        <f>IFERROR(IF(AND(VLOOKUP(CD6,$NW$21:$NX$35,2,0)="Yes",NOT(ISNUMBER(VLOOKUP(DATE($A$2,$A$3+$A$1-1,CD5),HolidayList[Date],1,0)))),TRUE,FALSE),FALSE)</f>
        <v>0</v>
      </c>
      <c r="CE4" s="13" t="b">
        <f>IFERROR(IF(AND(VLOOKUP(CE6,$NW$21:$NX$35,2,0)="Yes",NOT(ISNUMBER(VLOOKUP(DATE($A$2,$A$3+$A$1-1,CE5),HolidayList[Date],1,0)))),TRUE,FALSE),FALSE)</f>
        <v>0</v>
      </c>
      <c r="CF4" s="13" t="b">
        <f>IFERROR(IF(AND(VLOOKUP(CF6,$NW$21:$NX$35,2,0)="Yes",NOT(ISNUMBER(VLOOKUP(DATE($A$2,$A$3+$A$1-1,CF5),HolidayList[Date],1,0)))),TRUE,FALSE),FALSE)</f>
        <v>0</v>
      </c>
      <c r="CG4" s="13" t="b">
        <f>IFERROR(IF(AND(VLOOKUP(CG6,$NW$21:$NX$35,2,0)="Yes",NOT(ISNUMBER(VLOOKUP(DATE($A$2,$A$3+$A$1-1,CG5),HolidayList[Date],1,0)))),TRUE,FALSE),FALSE)</f>
        <v>0</v>
      </c>
      <c r="CH4" s="13" t="b">
        <f>IFERROR(IF(AND(VLOOKUP(CH6,$NW$21:$NX$35,2,0)="Yes",NOT(ISNUMBER(VLOOKUP(DATE($A$2,$A$3+$A$1-1,CH5),HolidayList[Date],1,0)))),TRUE,FALSE),FALSE)</f>
        <v>0</v>
      </c>
      <c r="CI4" s="13" t="b">
        <f>IFERROR(IF(AND(VLOOKUP(CI6,$NW$21:$NX$35,2,0)="Yes",NOT(ISNUMBER(VLOOKUP(DATE($A$2,$A$3+$A$1-1,CI5),HolidayList[Date],1,0)))),TRUE,FALSE),FALSE)</f>
        <v>0</v>
      </c>
      <c r="CJ4" s="13" t="b">
        <f>IFERROR(IF(AND(VLOOKUP(CJ6,$NW$21:$NX$35,2,0)="Yes",NOT(ISNUMBER(VLOOKUP(DATE($A$2,$A$3+$A$1-1,CJ5),HolidayList[Date],1,0)))),TRUE,FALSE),FALSE)</f>
        <v>0</v>
      </c>
      <c r="CK4" s="13" t="b">
        <f>IFERROR(IF(AND(VLOOKUP(CK6,$NW$21:$NX$35,2,0)="Yes",NOT(ISNUMBER(VLOOKUP(DATE($A$2,$A$3+$A$1-1,CK5),HolidayList[Date],1,0)))),TRUE,FALSE),FALSE)</f>
        <v>0</v>
      </c>
      <c r="CL4" s="13" t="b">
        <f>IFERROR(IF(AND(VLOOKUP(CL6,$NW$21:$NX$35,2,0)="Yes",NOT(ISNUMBER(VLOOKUP(DATE($A$2,$A$3+$A$1-1,CL5),HolidayList[Date],1,0)))),TRUE,FALSE),FALSE)</f>
        <v>0</v>
      </c>
      <c r="CM4" s="13" t="b">
        <f>IFERROR(IF(AND(VLOOKUP(CM6,$NW$21:$NX$35,2,0)="Yes",NOT(ISNUMBER(VLOOKUP(DATE($A$2,$A$3+$A$1-1,CM5),HolidayList[Date],1,0)))),TRUE,FALSE),FALSE)</f>
        <v>0</v>
      </c>
      <c r="CN4" s="13" t="b">
        <f>IFERROR(IF(AND(VLOOKUP(CN6,$NW$21:$NX$35,2,0)="Yes",NOT(ISNUMBER(VLOOKUP(DATE($A$2,$A$3+$A$1-1,CN5),HolidayList[Date],1,0)))),TRUE,FALSE),FALSE)</f>
        <v>0</v>
      </c>
      <c r="CO4" s="13" t="b">
        <f>IFERROR(IF(AND(VLOOKUP(CO6,$NW$21:$NX$35,2,0)="Yes",NOT(ISNUMBER(VLOOKUP(DATE($A$2,$A$3+$A$1-1,CO5),HolidayList[Date],1,0)))),TRUE,FALSE),FALSE)</f>
        <v>0</v>
      </c>
      <c r="CP4" s="13" t="b">
        <f>IFERROR(IF(AND(VLOOKUP(CP6,$NW$21:$NX$35,2,0)="Yes",NOT(ISNUMBER(VLOOKUP(DATE($A$2,$A$3+$A$1-1,CP5),HolidayList[Date],1,0)))),TRUE,FALSE),FALSE)</f>
        <v>0</v>
      </c>
      <c r="CQ4" s="13"/>
      <c r="CR4" s="13" t="b">
        <f>IFERROR(IF(AND(VLOOKUP(CR6,$NW$21:$NX$35,2,0)="Yes",NOT(ISNUMBER(VLOOKUP(DATE($A$2,$A$3+$A$1-1,CR5),HolidayList[Date],1,0)))),TRUE,FALSE),FALSE)</f>
        <v>0</v>
      </c>
      <c r="CS4" s="13" t="b">
        <f>IFERROR(IF(AND(VLOOKUP(CS6,$NW$21:$NX$35,2,0)="Yes",NOT(ISNUMBER(VLOOKUP(DATE($A$2,$A$3+$A$1-1,CS5),HolidayList[Date],1,0)))),TRUE,FALSE),FALSE)</f>
        <v>0</v>
      </c>
      <c r="CT4" s="13" t="b">
        <f>IFERROR(IF(AND(VLOOKUP(CT6,$NW$21:$NX$35,2,0)="Yes",NOT(ISNUMBER(VLOOKUP(DATE($A$2,$A$3+$A$1-1,CT5),HolidayList[Date],1,0)))),TRUE,FALSE),FALSE)</f>
        <v>0</v>
      </c>
      <c r="CU4" s="13" t="b">
        <f>IFERROR(IF(AND(VLOOKUP(CU6,$NW$21:$NX$35,2,0)="Yes",NOT(ISNUMBER(VLOOKUP(DATE($A$2,$A$3+$A$1-1,CU5),HolidayList[Date],1,0)))),TRUE,FALSE),FALSE)</f>
        <v>0</v>
      </c>
      <c r="CV4" s="13" t="b">
        <f>IFERROR(IF(AND(VLOOKUP(CV6,$NW$21:$NX$35,2,0)="Yes",NOT(ISNUMBER(VLOOKUP(DATE($A$2,$A$3+$A$1-1,CV5),HolidayList[Date],1,0)))),TRUE,FALSE),FALSE)</f>
        <v>0</v>
      </c>
      <c r="CW4" s="13" t="b">
        <f>IFERROR(IF(AND(VLOOKUP(CW6,$NW$21:$NX$35,2,0)="Yes",NOT(ISNUMBER(VLOOKUP(DATE($A$2,$A$3+$A$1-1,CW5),HolidayList[Date],1,0)))),TRUE,FALSE),FALSE)</f>
        <v>0</v>
      </c>
      <c r="CX4" s="13" t="b">
        <f>IFERROR(IF(AND(VLOOKUP(CX6,$NW$21:$NX$35,2,0)="Yes",NOT(ISNUMBER(VLOOKUP(DATE($A$2,$A$3+$A$1-1,CX5),HolidayList[Date],1,0)))),TRUE,FALSE),FALSE)</f>
        <v>0</v>
      </c>
      <c r="CY4" s="13" t="b">
        <f>IFERROR(IF(AND(VLOOKUP(CY6,$NW$21:$NX$35,2,0)="Yes",NOT(ISNUMBER(VLOOKUP(DATE($A$2,$A$3+$A$1-1,CY5),HolidayList[Date],1,0)))),TRUE,FALSE),FALSE)</f>
        <v>0</v>
      </c>
      <c r="CZ4" s="13" t="b">
        <f>IFERROR(IF(AND(VLOOKUP(CZ6,$NW$21:$NX$35,2,0)="Yes",NOT(ISNUMBER(VLOOKUP(DATE($A$2,$A$3+$A$1-1,CZ5),HolidayList[Date],1,0)))),TRUE,FALSE),FALSE)</f>
        <v>0</v>
      </c>
      <c r="DA4" s="13" t="b">
        <f>IFERROR(IF(AND(VLOOKUP(DA6,$NW$21:$NX$35,2,0)="Yes",NOT(ISNUMBER(VLOOKUP(DATE($A$2,$A$3+$A$1-1,DA5),HolidayList[Date],1,0)))),TRUE,FALSE),FALSE)</f>
        <v>0</v>
      </c>
      <c r="DB4" s="13" t="b">
        <f>IFERROR(IF(AND(VLOOKUP(DB6,$NW$21:$NX$35,2,0)="Yes",NOT(ISNUMBER(VLOOKUP(DATE($A$2,$A$3+$A$1-1,DB5),HolidayList[Date],1,0)))),TRUE,FALSE),FALSE)</f>
        <v>0</v>
      </c>
      <c r="DC4" s="13" t="b">
        <f>IFERROR(IF(AND(VLOOKUP(DC6,$NW$21:$NX$35,2,0)="Yes",NOT(ISNUMBER(VLOOKUP(DATE($A$2,$A$3+$A$1-1,DC5),HolidayList[Date],1,0)))),TRUE,FALSE),FALSE)</f>
        <v>0</v>
      </c>
      <c r="DD4" s="13" t="b">
        <f>IFERROR(IF(AND(VLOOKUP(DD6,$NW$21:$NX$35,2,0)="Yes",NOT(ISNUMBER(VLOOKUP(DATE($A$2,$A$3+$A$1-1,DD5),HolidayList[Date],1,0)))),TRUE,FALSE),FALSE)</f>
        <v>0</v>
      </c>
      <c r="DE4" s="13" t="b">
        <f>IFERROR(IF(AND(VLOOKUP(DE6,$NW$21:$NX$35,2,0)="Yes",NOT(ISNUMBER(VLOOKUP(DATE($A$2,$A$3+$A$1-1,DE5),HolidayList[Date],1,0)))),TRUE,FALSE),FALSE)</f>
        <v>0</v>
      </c>
      <c r="DF4" s="13" t="b">
        <f>IFERROR(IF(AND(VLOOKUP(DF6,$NW$21:$NX$35,2,0)="Yes",NOT(ISNUMBER(VLOOKUP(DATE($A$2,$A$3+$A$1-1,DF5),HolidayList[Date],1,0)))),TRUE,FALSE),FALSE)</f>
        <v>0</v>
      </c>
      <c r="DG4" s="13" t="b">
        <f>IFERROR(IF(AND(VLOOKUP(DG6,$NW$21:$NX$35,2,0)="Yes",NOT(ISNUMBER(VLOOKUP(DATE($A$2,$A$3+$A$1-1,DG5),HolidayList[Date],1,0)))),TRUE,FALSE),FALSE)</f>
        <v>0</v>
      </c>
      <c r="DH4" s="13" t="b">
        <f>IFERROR(IF(AND(VLOOKUP(DH6,$NW$21:$NX$35,2,0)="Yes",NOT(ISNUMBER(VLOOKUP(DATE($A$2,$A$3+$A$1-1,DH5),HolidayList[Date],1,0)))),TRUE,FALSE),FALSE)</f>
        <v>0</v>
      </c>
      <c r="DI4" s="13" t="b">
        <f>IFERROR(IF(AND(VLOOKUP(DI6,$NW$21:$NX$35,2,0)="Yes",NOT(ISNUMBER(VLOOKUP(DATE($A$2,$A$3+$A$1-1,DI5),HolidayList[Date],1,0)))),TRUE,FALSE),FALSE)</f>
        <v>0</v>
      </c>
      <c r="DJ4" s="13" t="b">
        <f>IFERROR(IF(AND(VLOOKUP(DJ6,$NW$21:$NX$35,2,0)="Yes",NOT(ISNUMBER(VLOOKUP(DATE($A$2,$A$3+$A$1-1,DJ5),HolidayList[Date],1,0)))),TRUE,FALSE),FALSE)</f>
        <v>0</v>
      </c>
      <c r="DK4" s="13" t="b">
        <f>IFERROR(IF(AND(VLOOKUP(DK6,$NW$21:$NX$35,2,0)="Yes",NOT(ISNUMBER(VLOOKUP(DATE($A$2,$A$3+$A$1-1,DK5),HolidayList[Date],1,0)))),TRUE,FALSE),FALSE)</f>
        <v>0</v>
      </c>
      <c r="DL4" s="13" t="b">
        <f>IFERROR(IF(AND(VLOOKUP(DL6,$NW$21:$NX$35,2,0)="Yes",NOT(ISNUMBER(VLOOKUP(DATE($A$2,$A$3+$A$1-1,DL5),HolidayList[Date],1,0)))),TRUE,FALSE),FALSE)</f>
        <v>0</v>
      </c>
      <c r="DM4" s="13" t="b">
        <f>IFERROR(IF(AND(VLOOKUP(DM6,$NW$21:$NX$35,2,0)="Yes",NOT(ISNUMBER(VLOOKUP(DATE($A$2,$A$3+$A$1-1,DM5),HolidayList[Date],1,0)))),TRUE,FALSE),FALSE)</f>
        <v>0</v>
      </c>
      <c r="DN4" s="13" t="b">
        <f>IFERROR(IF(AND(VLOOKUP(DN6,$NW$21:$NX$35,2,0)="Yes",NOT(ISNUMBER(VLOOKUP(DATE($A$2,$A$3+$A$1-1,DN5),HolidayList[Date],1,0)))),TRUE,FALSE),FALSE)</f>
        <v>0</v>
      </c>
      <c r="DO4" s="13" t="b">
        <f>IFERROR(IF(AND(VLOOKUP(DO6,$NW$21:$NX$35,2,0)="Yes",NOT(ISNUMBER(VLOOKUP(DATE($A$2,$A$3+$A$1-1,DO5),HolidayList[Date],1,0)))),TRUE,FALSE),FALSE)</f>
        <v>0</v>
      </c>
      <c r="DP4" s="13" t="b">
        <f>IFERROR(IF(AND(VLOOKUP(DP6,$NW$21:$NX$35,2,0)="Yes",NOT(ISNUMBER(VLOOKUP(DATE($A$2,$A$3+$A$1-1,DP5),HolidayList[Date],1,0)))),TRUE,FALSE),FALSE)</f>
        <v>0</v>
      </c>
      <c r="DQ4" s="13" t="b">
        <f>IFERROR(IF(AND(VLOOKUP(DQ6,$NW$21:$NX$35,2,0)="Yes",NOT(ISNUMBER(VLOOKUP(DATE($A$2,$A$3+$A$1-1,DQ5),HolidayList[Date],1,0)))),TRUE,FALSE),FALSE)</f>
        <v>0</v>
      </c>
      <c r="DR4" s="13" t="b">
        <f>IFERROR(IF(AND(VLOOKUP(DR6,$NW$21:$NX$35,2,0)="Yes",NOT(ISNUMBER(VLOOKUP(DATE($A$2,$A$3+$A$1-1,DR5),HolidayList[Date],1,0)))),TRUE,FALSE),FALSE)</f>
        <v>0</v>
      </c>
      <c r="DS4" s="13" t="b">
        <f>IFERROR(IF(AND(VLOOKUP(DS6,$NW$21:$NX$35,2,0)="Yes",NOT(ISNUMBER(VLOOKUP(DATE($A$2,$A$3+$A$1-1,DS5),HolidayList[Date],1,0)))),TRUE,FALSE),FALSE)</f>
        <v>0</v>
      </c>
      <c r="DT4" s="13" t="b">
        <f>IFERROR(IF(AND(VLOOKUP(DT6,$NW$21:$NX$35,2,0)="Yes",NOT(ISNUMBER(VLOOKUP(DATE($A$2,$A$3+$A$1-1,DT5),HolidayList[Date],1,0)))),TRUE,FALSE),FALSE)</f>
        <v>0</v>
      </c>
      <c r="DU4" s="13" t="b">
        <f>IFERROR(IF(AND(VLOOKUP(DU6,$NW$21:$NX$35,2,0)="Yes",NOT(ISNUMBER(VLOOKUP(DATE($A$2,$A$3+$A$1-1,DU5),HolidayList[Date],1,0)))),TRUE,FALSE),FALSE)</f>
        <v>0</v>
      </c>
      <c r="DV4" s="13" t="b">
        <f>IFERROR(IF(AND(VLOOKUP(DV6,$NW$21:$NX$35,2,0)="Yes",NOT(ISNUMBER(VLOOKUP(DATE($A$2,$A$3+$A$1-1,DV5),HolidayList[Date],1,0)))),TRUE,FALSE),FALSE)</f>
        <v>0</v>
      </c>
      <c r="DW4" s="13" t="b">
        <f>IFERROR(IF(AND(VLOOKUP(DW6,$NW$21:$NX$35,2,0)="Yes",NOT(ISNUMBER(VLOOKUP(DATE($A$2,$A$3+$A$1-1,DW5),HolidayList[Date],1,0)))),TRUE,FALSE),FALSE)</f>
        <v>0</v>
      </c>
      <c r="DX4" s="13" t="b">
        <f>IFERROR(IF(AND(VLOOKUP(DX6,$NW$21:$NX$35,2,0)="Yes",NOT(ISNUMBER(VLOOKUP(DATE($A$2,$A$3+$A$1-1,DX5),HolidayList[Date],1,0)))),TRUE,FALSE),FALSE)</f>
        <v>0</v>
      </c>
      <c r="DY4" s="13" t="b">
        <f>IFERROR(IF(AND(VLOOKUP(DY6,$NW$21:$NX$35,2,0)="Yes",NOT(ISNUMBER(VLOOKUP(DATE($A$2,$A$3+$A$1-1,DY5),HolidayList[Date],1,0)))),TRUE,FALSE),FALSE)</f>
        <v>0</v>
      </c>
      <c r="DZ4" s="13" t="b">
        <f>IFERROR(IF(AND(VLOOKUP(DZ6,$NW$21:$NX$35,2,0)="Yes",NOT(ISNUMBER(VLOOKUP(DATE($A$2,$A$3+$A$1-1,DZ5),HolidayList[Date],1,0)))),TRUE,FALSE),FALSE)</f>
        <v>0</v>
      </c>
      <c r="EA4" s="13" t="b">
        <f>IFERROR(IF(AND(VLOOKUP(EA6,$NW$21:$NX$35,2,0)="Yes",NOT(ISNUMBER(VLOOKUP(DATE($A$2,$A$3+$A$1-1,EA5),HolidayList[Date],1,0)))),TRUE,FALSE),FALSE)</f>
        <v>0</v>
      </c>
      <c r="EB4" s="13" t="b">
        <f>IFERROR(IF(AND(VLOOKUP(EB6,$NW$21:$NX$35,2,0)="Yes",NOT(ISNUMBER(VLOOKUP(DATE($A$2,$A$3+$A$1-1,EB5),HolidayList[Date],1,0)))),TRUE,FALSE),FALSE)</f>
        <v>0</v>
      </c>
      <c r="EC4" s="13" t="b">
        <f>IFERROR(IF(AND(VLOOKUP(EC6,$NW$21:$NX$35,2,0)="Yes",NOT(ISNUMBER(VLOOKUP(DATE($A$2,$A$3+$A$1-1,EC5),HolidayList[Date],1,0)))),TRUE,FALSE),FALSE)</f>
        <v>0</v>
      </c>
      <c r="ED4" s="13" t="b">
        <f>IFERROR(IF(AND(VLOOKUP(ED6,$NW$21:$NX$35,2,0)="Yes",NOT(ISNUMBER(VLOOKUP(DATE($A$2,$A$3+$A$1-1,ED5),HolidayList[Date],1,0)))),TRUE,FALSE),FALSE)</f>
        <v>0</v>
      </c>
      <c r="EE4" s="13" t="b">
        <f>IFERROR(IF(AND(VLOOKUP(EE6,$NW$21:$NX$35,2,0)="Yes",NOT(ISNUMBER(VLOOKUP(DATE($A$2,$A$3+$A$1-1,EE5),HolidayList[Date],1,0)))),TRUE,FALSE),FALSE)</f>
        <v>0</v>
      </c>
      <c r="EF4" s="13" t="b">
        <f>IFERROR(IF(AND(VLOOKUP(EF6,$NW$21:$NX$35,2,0)="Yes",NOT(ISNUMBER(VLOOKUP(DATE($A$2,$A$3+$A$1-1,EF5),HolidayList[Date],1,0)))),TRUE,FALSE),FALSE)</f>
        <v>0</v>
      </c>
      <c r="EG4" s="13" t="b">
        <f>IFERROR(IF(AND(VLOOKUP(EG6,$NW$21:$NX$35,2,0)="Yes",NOT(ISNUMBER(VLOOKUP(DATE($A$2,$A$3+$A$1-1,EG5),HolidayList[Date],1,0)))),TRUE,FALSE),FALSE)</f>
        <v>0</v>
      </c>
      <c r="EH4" s="13" t="b">
        <f>IFERROR(IF(AND(VLOOKUP(EH6,$NW$21:$NX$35,2,0)="Yes",NOT(ISNUMBER(VLOOKUP(DATE($A$2,$A$3+$A$1-1,EH5),HolidayList[Date],1,0)))),TRUE,FALSE),FALSE)</f>
        <v>0</v>
      </c>
      <c r="EI4" s="13" t="b">
        <f>IFERROR(IF(AND(VLOOKUP(EI6,$NW$21:$NX$35,2,0)="Yes",NOT(ISNUMBER(VLOOKUP(DATE($A$2,$A$3+$A$1-1,EI5),HolidayList[Date],1,0)))),TRUE,FALSE),FALSE)</f>
        <v>0</v>
      </c>
      <c r="EJ4" s="13" t="b">
        <f>IFERROR(IF(AND(VLOOKUP(EJ6,$NW$21:$NX$35,2,0)="Yes",NOT(ISNUMBER(VLOOKUP(DATE($A$2,$A$3+$A$1-1,EJ5),HolidayList[Date],1,0)))),TRUE,FALSE),FALSE)</f>
        <v>0</v>
      </c>
      <c r="EK4" s="13" t="b">
        <f>IFERROR(IF(AND(VLOOKUP(EK6,$NW$21:$NX$35,2,0)="Yes",NOT(ISNUMBER(VLOOKUP(DATE($A$2,$A$3+$A$1-1,EK5),HolidayList[Date],1,0)))),TRUE,FALSE),FALSE)</f>
        <v>0</v>
      </c>
      <c r="EL4" s="13" t="b">
        <f>IFERROR(IF(AND(VLOOKUP(EL6,$NW$21:$NX$35,2,0)="Yes",NOT(ISNUMBER(VLOOKUP(DATE($A$2,$A$3+$A$1-1,EL5),HolidayList[Date],1,0)))),TRUE,FALSE),FALSE)</f>
        <v>0</v>
      </c>
      <c r="EM4" s="13" t="b">
        <f>IFERROR(IF(AND(VLOOKUP(EM6,$NW$21:$NX$35,2,0)="Yes",NOT(ISNUMBER(VLOOKUP(DATE($A$2,$A$3+$A$1-1,EM5),HolidayList[Date],1,0)))),TRUE,FALSE),FALSE)</f>
        <v>0</v>
      </c>
      <c r="EN4" s="13" t="b">
        <f>IFERROR(IF(AND(VLOOKUP(EN6,$NW$21:$NX$35,2,0)="Yes",NOT(ISNUMBER(VLOOKUP(DATE($A$2,$A$3+$A$1-1,EN5),HolidayList[Date],1,0)))),TRUE,FALSE),FALSE)</f>
        <v>0</v>
      </c>
      <c r="EO4" s="13" t="b">
        <f>IFERROR(IF(AND(VLOOKUP(EO6,$NW$21:$NX$35,2,0)="Yes",NOT(ISNUMBER(VLOOKUP(DATE($A$2,$A$3+$A$1-1,EO5),HolidayList[Date],1,0)))),TRUE,FALSE),FALSE)</f>
        <v>0</v>
      </c>
      <c r="EP4" s="13" t="b">
        <f>IFERROR(IF(AND(VLOOKUP(EP6,$NW$21:$NX$35,2,0)="Yes",NOT(ISNUMBER(VLOOKUP(DATE($A$2,$A$3+$A$1-1,EP5),HolidayList[Date],1,0)))),TRUE,FALSE),FALSE)</f>
        <v>0</v>
      </c>
      <c r="EQ4" s="13" t="b">
        <f>IFERROR(IF(AND(VLOOKUP(EQ6,$NW$21:$NX$35,2,0)="Yes",NOT(ISNUMBER(VLOOKUP(DATE($A$2,$A$3+$A$1-1,EQ5),HolidayList[Date],1,0)))),TRUE,FALSE),FALSE)</f>
        <v>0</v>
      </c>
      <c r="ER4" s="13" t="b">
        <f>IFERROR(IF(AND(VLOOKUP(ER6,$NW$21:$NX$35,2,0)="Yes",NOT(ISNUMBER(VLOOKUP(DATE($A$2,$A$3+$A$1-1,ER5),HolidayList[Date],1,0)))),TRUE,FALSE),FALSE)</f>
        <v>0</v>
      </c>
      <c r="ES4" s="13" t="b">
        <f>IFERROR(IF(AND(VLOOKUP(ES6,$NW$21:$NX$35,2,0)="Yes",NOT(ISNUMBER(VLOOKUP(DATE($A$2,$A$3+$A$1-1,ES5),HolidayList[Date],1,0)))),TRUE,FALSE),FALSE)</f>
        <v>0</v>
      </c>
      <c r="ET4" s="13" t="b">
        <f>IFERROR(IF(AND(VLOOKUP(ET6,$NW$21:$NX$35,2,0)="Yes",NOT(ISNUMBER(VLOOKUP(DATE($A$2,$A$3+$A$1-1,ET5),HolidayList[Date],1,0)))),TRUE,FALSE),FALSE)</f>
        <v>0</v>
      </c>
      <c r="EU4" s="13" t="b">
        <f>IFERROR(IF(AND(VLOOKUP(EU6,$NW$21:$NX$35,2,0)="Yes",NOT(ISNUMBER(VLOOKUP(DATE($A$2,$A$3+$A$1-1,EU5),HolidayList[Date],1,0)))),TRUE,FALSE),FALSE)</f>
        <v>0</v>
      </c>
      <c r="EV4" s="13" t="b">
        <f>IFERROR(IF(AND(VLOOKUP(EV6,$NW$21:$NX$35,2,0)="Yes",NOT(ISNUMBER(VLOOKUP(DATE($A$2,$A$3+$A$1-1,EV5),HolidayList[Date],1,0)))),TRUE,FALSE),FALSE)</f>
        <v>0</v>
      </c>
      <c r="EW4" s="13" t="b">
        <f>IFERROR(IF(AND(VLOOKUP(EW6,$NW$21:$NX$35,2,0)="Yes",NOT(ISNUMBER(VLOOKUP(DATE($A$2,$A$3+$A$1-1,EW5),HolidayList[Date],1,0)))),TRUE,FALSE),FALSE)</f>
        <v>0</v>
      </c>
      <c r="EX4" s="13" t="b">
        <f>IFERROR(IF(AND(VLOOKUP(EX6,$NW$21:$NX$35,2,0)="Yes",NOT(ISNUMBER(VLOOKUP(DATE($A$2,$A$3+$A$1-1,EX5),HolidayList[Date],1,0)))),TRUE,FALSE),FALSE)</f>
        <v>0</v>
      </c>
      <c r="EY4" s="13" t="b">
        <f>IFERROR(IF(AND(VLOOKUP(EY6,$NW$21:$NX$35,2,0)="Yes",NOT(ISNUMBER(VLOOKUP(DATE($A$2,$A$3+$A$1-1,EY5),HolidayList[Date],1,0)))),TRUE,FALSE),FALSE)</f>
        <v>0</v>
      </c>
      <c r="EZ4" s="13" t="b">
        <f>IFERROR(IF(AND(VLOOKUP(EZ6,$NW$21:$NX$35,2,0)="Yes",NOT(ISNUMBER(VLOOKUP(DATE($A$2,$A$3+$A$1-1,EZ5),HolidayList[Date],1,0)))),TRUE,FALSE),FALSE)</f>
        <v>0</v>
      </c>
      <c r="FA4" s="13" t="b">
        <f>IFERROR(IF(AND(VLOOKUP(FA6,$NW$21:$NX$35,2,0)="Yes",NOT(ISNUMBER(VLOOKUP(DATE($A$2,$A$3+$A$1-1,FA5),HolidayList[Date],1,0)))),TRUE,FALSE),FALSE)</f>
        <v>0</v>
      </c>
      <c r="FB4" s="13" t="b">
        <f>IFERROR(IF(AND(VLOOKUP(FB6,$NW$21:$NX$35,2,0)="Yes",NOT(ISNUMBER(VLOOKUP(DATE($A$2,$A$3+$A$1-1,FB5),HolidayList[Date],1,0)))),TRUE,FALSE),FALSE)</f>
        <v>0</v>
      </c>
      <c r="FC4" s="13" t="b">
        <f>IFERROR(IF(AND(VLOOKUP(FC6,$NW$21:$NX$35,2,0)="Yes",NOT(ISNUMBER(VLOOKUP(DATE($A$2,$A$3+$A$1-1,FC5),HolidayList[Date],1,0)))),TRUE,FALSE),FALSE)</f>
        <v>0</v>
      </c>
      <c r="FD4" s="13" t="b">
        <f>IFERROR(IF(AND(VLOOKUP(FD6,$NW$21:$NX$35,2,0)="Yes",NOT(ISNUMBER(VLOOKUP(DATE($A$2,$A$3+$A$1-1,FD5),HolidayList[Date],1,0)))),TRUE,FALSE),FALSE)</f>
        <v>0</v>
      </c>
      <c r="FE4" s="13" t="b">
        <f>IFERROR(IF(AND(VLOOKUP(FE6,$NW$21:$NX$35,2,0)="Yes",NOT(ISNUMBER(VLOOKUP(DATE($A$2,$A$3+$A$1-1,FE5),HolidayList[Date],1,0)))),TRUE,FALSE),FALSE)</f>
        <v>0</v>
      </c>
      <c r="FF4" s="13" t="b">
        <f>IFERROR(IF(AND(VLOOKUP(FF6,$NW$21:$NX$35,2,0)="Yes",NOT(ISNUMBER(VLOOKUP(DATE($A$2,$A$3+$A$1-1,FF5),HolidayList[Date],1,0)))),TRUE,FALSE),FALSE)</f>
        <v>0</v>
      </c>
      <c r="FG4" s="13" t="b">
        <f>IFERROR(IF(AND(VLOOKUP(FG6,$NW$21:$NX$35,2,0)="Yes",NOT(ISNUMBER(VLOOKUP(DATE($A$2,$A$3+$A$1-1,FG5),HolidayList[Date],1,0)))),TRUE,FALSE),FALSE)</f>
        <v>0</v>
      </c>
      <c r="FH4" s="13" t="b">
        <f>IFERROR(IF(AND(VLOOKUP(FH6,$NW$21:$NX$35,2,0)="Yes",NOT(ISNUMBER(VLOOKUP(DATE($A$2,$A$3+$A$1-1,FH5),HolidayList[Date],1,0)))),TRUE,FALSE),FALSE)</f>
        <v>0</v>
      </c>
      <c r="FI4" s="13" t="b">
        <f>IFERROR(IF(AND(VLOOKUP(FI6,$NW$21:$NX$35,2,0)="Yes",NOT(ISNUMBER(VLOOKUP(DATE($A$2,$A$3+$A$1-1,FI5),HolidayList[Date],1,0)))),TRUE,FALSE),FALSE)</f>
        <v>0</v>
      </c>
      <c r="FJ4" s="13" t="b">
        <f>IFERROR(IF(AND(VLOOKUP(FJ6,$NW$21:$NX$35,2,0)="Yes",NOT(ISNUMBER(VLOOKUP(DATE($A$2,$A$3+$A$1-1,FJ5),HolidayList[Date],1,0)))),TRUE,FALSE),FALSE)</f>
        <v>0</v>
      </c>
      <c r="FK4" s="13" t="b">
        <f>IFERROR(IF(AND(VLOOKUP(FK6,$NW$21:$NX$35,2,0)="Yes",NOT(ISNUMBER(VLOOKUP(DATE($A$2,$A$3+$A$1-1,FK5),HolidayList[Date],1,0)))),TRUE,FALSE),FALSE)</f>
        <v>0</v>
      </c>
      <c r="FL4" s="13" t="b">
        <f>IFERROR(IF(AND(VLOOKUP(FL6,$NW$21:$NX$35,2,0)="Yes",NOT(ISNUMBER(VLOOKUP(DATE($A$2,$A$3+$A$1-1,FL5),HolidayList[Date],1,0)))),TRUE,FALSE),FALSE)</f>
        <v>0</v>
      </c>
      <c r="FM4" s="13" t="b">
        <f>IFERROR(IF(AND(VLOOKUP(FM6,$NW$21:$NX$35,2,0)="Yes",NOT(ISNUMBER(VLOOKUP(DATE($A$2,$A$3+$A$1-1,FM5),HolidayList[Date],1,0)))),TRUE,FALSE),FALSE)</f>
        <v>0</v>
      </c>
      <c r="FN4" s="13" t="b">
        <f>IFERROR(IF(AND(VLOOKUP(FN6,$NW$21:$NX$35,2,0)="Yes",NOT(ISNUMBER(VLOOKUP(DATE($A$2,$A$3+$A$1-1,FN5),HolidayList[Date],1,0)))),TRUE,FALSE),FALSE)</f>
        <v>0</v>
      </c>
      <c r="FO4" s="13" t="b">
        <f>IFERROR(IF(AND(VLOOKUP(FO6,$NW$21:$NX$35,2,0)="Yes",NOT(ISNUMBER(VLOOKUP(DATE($A$2,$A$3+$A$1-1,FO5),HolidayList[Date],1,0)))),TRUE,FALSE),FALSE)</f>
        <v>0</v>
      </c>
      <c r="FP4" s="13" t="b">
        <f>IFERROR(IF(AND(VLOOKUP(FP6,$NW$21:$NX$35,2,0)="Yes",NOT(ISNUMBER(VLOOKUP(DATE($A$2,$A$3+$A$1-1,FP5),HolidayList[Date],1,0)))),TRUE,FALSE),FALSE)</f>
        <v>0</v>
      </c>
      <c r="FQ4" s="13" t="b">
        <f>IFERROR(IF(AND(VLOOKUP(FQ6,$NW$21:$NX$35,2,0)="Yes",NOT(ISNUMBER(VLOOKUP(DATE($A$2,$A$3+$A$1-1,FQ5),HolidayList[Date],1,0)))),TRUE,FALSE),FALSE)</f>
        <v>0</v>
      </c>
      <c r="FR4" s="13" t="b">
        <f>IFERROR(IF(AND(VLOOKUP(FR6,$NW$21:$NX$35,2,0)="Yes",NOT(ISNUMBER(VLOOKUP(DATE($A$2,$A$3+$A$1-1,FR5),HolidayList[Date],1,0)))),TRUE,FALSE),FALSE)</f>
        <v>0</v>
      </c>
      <c r="FS4" s="13" t="b">
        <f>IFERROR(IF(AND(VLOOKUP(FS6,$NW$21:$NX$35,2,0)="Yes",NOT(ISNUMBER(VLOOKUP(DATE($A$2,$A$3+$A$1-1,FS5),HolidayList[Date],1,0)))),TRUE,FALSE),FALSE)</f>
        <v>0</v>
      </c>
      <c r="FT4" s="13" t="b">
        <f>IFERROR(IF(AND(VLOOKUP(FT6,$NW$21:$NX$35,2,0)="Yes",NOT(ISNUMBER(VLOOKUP(DATE($A$2,$A$3+$A$1-1,FT5),HolidayList[Date],1,0)))),TRUE,FALSE),FALSE)</f>
        <v>0</v>
      </c>
      <c r="FU4" s="13" t="b">
        <f>IFERROR(IF(AND(VLOOKUP(FU6,$NW$21:$NX$35,2,0)="Yes",NOT(ISNUMBER(VLOOKUP(DATE($A$2,$A$3+$A$1-1,FU5),HolidayList[Date],1,0)))),TRUE,FALSE),FALSE)</f>
        <v>0</v>
      </c>
      <c r="FV4" s="13" t="b">
        <f>IFERROR(IF(AND(VLOOKUP(FV6,$NW$21:$NX$35,2,0)="Yes",NOT(ISNUMBER(VLOOKUP(DATE($A$2,$A$3+$A$1-1,FV5),HolidayList[Date],1,0)))),TRUE,FALSE),FALSE)</f>
        <v>0</v>
      </c>
      <c r="FW4" s="13" t="b">
        <f>IFERROR(IF(AND(VLOOKUP(FW6,$NW$21:$NX$35,2,0)="Yes",NOT(ISNUMBER(VLOOKUP(DATE($A$2,$A$3+$A$1-1,FW5),HolidayList[Date],1,0)))),TRUE,FALSE),FALSE)</f>
        <v>0</v>
      </c>
      <c r="FX4" s="13" t="b">
        <f>IFERROR(IF(AND(VLOOKUP(FX6,$NW$21:$NX$35,2,0)="Yes",NOT(ISNUMBER(VLOOKUP(DATE($A$2,$A$3+$A$1-1,FX5),HolidayList[Date],1,0)))),TRUE,FALSE),FALSE)</f>
        <v>0</v>
      </c>
      <c r="FY4" s="13" t="b">
        <f>IFERROR(IF(AND(VLOOKUP(FY6,$NW$21:$NX$35,2,0)="Yes",NOT(ISNUMBER(VLOOKUP(DATE($A$2,$A$3+$A$1-1,FY5),HolidayList[Date],1,0)))),TRUE,FALSE),FALSE)</f>
        <v>0</v>
      </c>
      <c r="FZ4" s="13" t="b">
        <f>IFERROR(IF(AND(VLOOKUP(FZ6,$NW$21:$NX$35,2,0)="Yes",NOT(ISNUMBER(VLOOKUP(DATE($A$2,$A$3+$A$1-1,FZ5),HolidayList[Date],1,0)))),TRUE,FALSE),FALSE)</f>
        <v>0</v>
      </c>
      <c r="GA4" s="13" t="b">
        <f>IFERROR(IF(AND(VLOOKUP(GA6,$NW$21:$NX$35,2,0)="Yes",NOT(ISNUMBER(VLOOKUP(DATE($A$2,$A$3+$A$1-1,GA5),HolidayList[Date],1,0)))),TRUE,FALSE),FALSE)</f>
        <v>0</v>
      </c>
      <c r="GB4" s="13" t="b">
        <f>IFERROR(IF(AND(VLOOKUP(GB6,$NW$21:$NX$35,2,0)="Yes",NOT(ISNUMBER(VLOOKUP(DATE($A$2,$A$3+$A$1-1,GB5),HolidayList[Date],1,0)))),TRUE,FALSE),FALSE)</f>
        <v>0</v>
      </c>
      <c r="GC4" s="13" t="b">
        <f>IFERROR(IF(AND(VLOOKUP(GC6,$NW$21:$NX$35,2,0)="Yes",NOT(ISNUMBER(VLOOKUP(DATE($A$2,$A$3+$A$1-1,GC5),HolidayList[Date],1,0)))),TRUE,FALSE),FALSE)</f>
        <v>0</v>
      </c>
      <c r="GD4" s="13" t="b">
        <f>IFERROR(IF(AND(VLOOKUP(GD6,$NW$21:$NX$35,2,0)="Yes",NOT(ISNUMBER(VLOOKUP(DATE($A$2,$A$3+$A$1-1,GD5),HolidayList[Date],1,0)))),TRUE,FALSE),FALSE)</f>
        <v>0</v>
      </c>
      <c r="GE4" s="13" t="b">
        <f>IFERROR(IF(AND(VLOOKUP(GE6,$NW$21:$NX$35,2,0)="Yes",NOT(ISNUMBER(VLOOKUP(DATE($A$2,$A$3+$A$1-1,GE5),HolidayList[Date],1,0)))),TRUE,FALSE),FALSE)</f>
        <v>0</v>
      </c>
      <c r="GF4" s="13" t="b">
        <f>IFERROR(IF(AND(VLOOKUP(GF6,$NW$21:$NX$35,2,0)="Yes",NOT(ISNUMBER(VLOOKUP(DATE($A$2,$A$3+$A$1-1,GF5),HolidayList[Date],1,0)))),TRUE,FALSE),FALSE)</f>
        <v>0</v>
      </c>
      <c r="GG4" s="13" t="b">
        <f>IFERROR(IF(AND(VLOOKUP(GG6,$NW$21:$NX$35,2,0)="Yes",NOT(ISNUMBER(VLOOKUP(DATE($A$2,$A$3+$A$1-1,GG5),HolidayList[Date],1,0)))),TRUE,FALSE),FALSE)</f>
        <v>0</v>
      </c>
      <c r="GH4" s="13" t="b">
        <f>IFERROR(IF(AND(VLOOKUP(GH6,$NW$21:$NX$35,2,0)="Yes",NOT(ISNUMBER(VLOOKUP(DATE($A$2,$A$3+$A$1-1,GH5),HolidayList[Date],1,0)))),TRUE,FALSE),FALSE)</f>
        <v>0</v>
      </c>
      <c r="GI4" s="13" t="b">
        <f>IFERROR(IF(AND(VLOOKUP(GI6,$NW$21:$NX$35,2,0)="Yes",NOT(ISNUMBER(VLOOKUP(DATE($A$2,$A$3+$A$1-1,GI5),HolidayList[Date],1,0)))),TRUE,FALSE),FALSE)</f>
        <v>0</v>
      </c>
      <c r="GJ4" s="13" t="b">
        <f>IFERROR(IF(AND(VLOOKUP(GJ6,$NW$21:$NX$35,2,0)="Yes",NOT(ISNUMBER(VLOOKUP(DATE($A$2,$A$3+$A$1-1,GJ5),HolidayList[Date],1,0)))),TRUE,FALSE),FALSE)</f>
        <v>0</v>
      </c>
      <c r="GK4" s="13" t="b">
        <f>IFERROR(IF(AND(VLOOKUP(GK6,$NW$21:$NX$35,2,0)="Yes",NOT(ISNUMBER(VLOOKUP(DATE($A$2,$A$3+$A$1-1,GK5),HolidayList[Date],1,0)))),TRUE,FALSE),FALSE)</f>
        <v>0</v>
      </c>
      <c r="GL4" s="13" t="b">
        <f>IFERROR(IF(AND(VLOOKUP(GL6,$NW$21:$NX$35,2,0)="Yes",NOT(ISNUMBER(VLOOKUP(DATE($A$2,$A$3+$A$1-1,GL5),HolidayList[Date],1,0)))),TRUE,FALSE),FALSE)</f>
        <v>0</v>
      </c>
      <c r="GM4" s="13" t="b">
        <f>IFERROR(IF(AND(VLOOKUP(GM6,$NW$21:$NX$35,2,0)="Yes",NOT(ISNUMBER(VLOOKUP(DATE($A$2,$A$3+$A$1-1,GM5),HolidayList[Date],1,0)))),TRUE,FALSE),FALSE)</f>
        <v>0</v>
      </c>
      <c r="GN4" s="13" t="b">
        <f>IFERROR(IF(AND(VLOOKUP(GN6,$NW$21:$NX$35,2,0)="Yes",NOT(ISNUMBER(VLOOKUP(DATE($A$2,$A$3+$A$1-1,GN5),HolidayList[Date],1,0)))),TRUE,FALSE),FALSE)</f>
        <v>0</v>
      </c>
      <c r="GO4" s="13" t="b">
        <f>IFERROR(IF(AND(VLOOKUP(GO6,$NW$21:$NX$35,2,0)="Yes",NOT(ISNUMBER(VLOOKUP(DATE($A$2,$A$3+$A$1-1,GO5),HolidayList[Date],1,0)))),TRUE,FALSE),FALSE)</f>
        <v>0</v>
      </c>
      <c r="GP4" s="13" t="b">
        <f>IFERROR(IF(AND(VLOOKUP(GP6,$NW$21:$NX$35,2,0)="Yes",NOT(ISNUMBER(VLOOKUP(DATE($A$2,$A$3+$A$1-1,GP5),HolidayList[Date],1,0)))),TRUE,FALSE),FALSE)</f>
        <v>0</v>
      </c>
      <c r="GQ4" s="13" t="b">
        <f>IFERROR(IF(AND(VLOOKUP(GQ6,$NW$21:$NX$35,2,0)="Yes",NOT(ISNUMBER(VLOOKUP(DATE($A$2,$A$3+$A$1-1,GQ5),HolidayList[Date],1,0)))),TRUE,FALSE),FALSE)</f>
        <v>0</v>
      </c>
      <c r="GR4" s="13" t="b">
        <f>IFERROR(IF(AND(VLOOKUP(GR6,$NW$21:$NX$35,2,0)="Yes",NOT(ISNUMBER(VLOOKUP(DATE($A$2,$A$3+$A$1-1,GR5),HolidayList[Date],1,0)))),TRUE,FALSE),FALSE)</f>
        <v>0</v>
      </c>
      <c r="GS4" s="13" t="b">
        <f>IFERROR(IF(AND(VLOOKUP(GS6,$NW$21:$NX$35,2,0)="Yes",NOT(ISNUMBER(VLOOKUP(DATE($A$2,$A$3+$A$1-1,GS5),HolidayList[Date],1,0)))),TRUE,FALSE),FALSE)</f>
        <v>0</v>
      </c>
      <c r="GT4" s="13" t="b">
        <f>IFERROR(IF(AND(VLOOKUP(GT6,$NW$21:$NX$35,2,0)="Yes",NOT(ISNUMBER(VLOOKUP(DATE($A$2,$A$3+$A$1-1,GT5),HolidayList[Date],1,0)))),TRUE,FALSE),FALSE)</f>
        <v>0</v>
      </c>
      <c r="GU4" s="13" t="b">
        <f>IFERROR(IF(AND(VLOOKUP(GU6,$NW$21:$NX$35,2,0)="Yes",NOT(ISNUMBER(VLOOKUP(DATE($A$2,$A$3+$A$1-1,GU5),HolidayList[Date],1,0)))),TRUE,FALSE),FALSE)</f>
        <v>0</v>
      </c>
      <c r="GV4" s="13" t="b">
        <f>IFERROR(IF(AND(VLOOKUP(GV6,$NW$21:$NX$35,2,0)="Yes",NOT(ISNUMBER(VLOOKUP(DATE($A$2,$A$3+$A$1-1,GV5),HolidayList[Date],1,0)))),TRUE,FALSE),FALSE)</f>
        <v>0</v>
      </c>
      <c r="GW4" s="13" t="b">
        <f>IFERROR(IF(AND(VLOOKUP(GW6,$NW$21:$NX$35,2,0)="Yes",NOT(ISNUMBER(VLOOKUP(DATE($A$2,$A$3+$A$1-1,GW5),HolidayList[Date],1,0)))),TRUE,FALSE),FALSE)</f>
        <v>0</v>
      </c>
      <c r="GX4" s="13" t="b">
        <f>IFERROR(IF(AND(VLOOKUP(GX6,$NW$21:$NX$35,2,0)="Yes",NOT(ISNUMBER(VLOOKUP(DATE($A$2,$A$3+$A$1-1,GX5),HolidayList[Date],1,0)))),TRUE,FALSE),FALSE)</f>
        <v>0</v>
      </c>
      <c r="GY4" s="13" t="b">
        <f>IFERROR(IF(AND(VLOOKUP(GY6,$NW$21:$NX$35,2,0)="Yes",NOT(ISNUMBER(VLOOKUP(DATE($A$2,$A$3+$A$1-1,GY5),HolidayList[Date],1,0)))),TRUE,FALSE),FALSE)</f>
        <v>0</v>
      </c>
      <c r="GZ4" s="13" t="b">
        <f>IFERROR(IF(AND(VLOOKUP(GZ6,$NW$21:$NX$35,2,0)="Yes",NOT(ISNUMBER(VLOOKUP(DATE($A$2,$A$3+$A$1-1,GZ5),HolidayList[Date],1,0)))),TRUE,FALSE),FALSE)</f>
        <v>0</v>
      </c>
      <c r="HA4" s="13" t="b">
        <f>IFERROR(IF(AND(VLOOKUP(HA6,$NW$21:$NX$35,2,0)="Yes",NOT(ISNUMBER(VLOOKUP(DATE($A$2,$A$3+$A$1-1,HA5),HolidayList[Date],1,0)))),TRUE,FALSE),FALSE)</f>
        <v>0</v>
      </c>
      <c r="HB4" s="13" t="b">
        <f>IFERROR(IF(AND(VLOOKUP(HB6,$NW$21:$NX$35,2,0)="Yes",NOT(ISNUMBER(VLOOKUP(DATE($A$2,$A$3+$A$1-1,HB5),HolidayList[Date],1,0)))),TRUE,FALSE),FALSE)</f>
        <v>0</v>
      </c>
      <c r="HC4" s="13" t="b">
        <f>IFERROR(IF(AND(VLOOKUP(HC6,$NW$21:$NX$35,2,0)="Yes",NOT(ISNUMBER(VLOOKUP(DATE($A$2,$A$3+$A$1-1,HC5),HolidayList[Date],1,0)))),TRUE,FALSE),FALSE)</f>
        <v>0</v>
      </c>
      <c r="HD4" s="13" t="b">
        <f>IFERROR(IF(AND(VLOOKUP(HD6,$NW$21:$NX$35,2,0)="Yes",NOT(ISNUMBER(VLOOKUP(DATE($A$2,$A$3+$A$1-1,HD5),HolidayList[Date],1,0)))),TRUE,FALSE),FALSE)</f>
        <v>0</v>
      </c>
      <c r="HE4" s="13" t="b">
        <f>IFERROR(IF(AND(VLOOKUP(HE6,$NW$21:$NX$35,2,0)="Yes",NOT(ISNUMBER(VLOOKUP(DATE($A$2,$A$3+$A$1-1,HE5),HolidayList[Date],1,0)))),TRUE,FALSE),FALSE)</f>
        <v>0</v>
      </c>
      <c r="HF4" s="13" t="b">
        <f>IFERROR(IF(AND(VLOOKUP(HF6,$NW$21:$NX$35,2,0)="Yes",NOT(ISNUMBER(VLOOKUP(DATE($A$2,$A$3+$A$1-1,HF5),HolidayList[Date],1,0)))),TRUE,FALSE),FALSE)</f>
        <v>0</v>
      </c>
      <c r="HG4" s="13" t="b">
        <f>IFERROR(IF(AND(VLOOKUP(HG6,$NW$21:$NX$35,2,0)="Yes",NOT(ISNUMBER(VLOOKUP(DATE($A$2,$A$3+$A$1-1,HG5),HolidayList[Date],1,0)))),TRUE,FALSE),FALSE)</f>
        <v>0</v>
      </c>
      <c r="HH4" s="13" t="b">
        <f>IFERROR(IF(AND(VLOOKUP(HH6,$NW$21:$NX$35,2,0)="Yes",NOT(ISNUMBER(VLOOKUP(DATE($A$2,$A$3+$A$1-1,HH5),HolidayList[Date],1,0)))),TRUE,FALSE),FALSE)</f>
        <v>0</v>
      </c>
      <c r="HI4" s="13" t="b">
        <f>IFERROR(IF(AND(VLOOKUP(HI6,$NW$21:$NX$35,2,0)="Yes",NOT(ISNUMBER(VLOOKUP(DATE($A$2,$A$3+$A$1-1,HI5),HolidayList[Date],1,0)))),TRUE,FALSE),FALSE)</f>
        <v>0</v>
      </c>
      <c r="HJ4" s="13" t="b">
        <f>IFERROR(IF(AND(VLOOKUP(HJ6,$NW$21:$NX$35,2,0)="Yes",NOT(ISNUMBER(VLOOKUP(DATE($A$2,$A$3+$A$1-1,HJ5),HolidayList[Date],1,0)))),TRUE,FALSE),FALSE)</f>
        <v>0</v>
      </c>
      <c r="HK4" s="13" t="b">
        <f>IFERROR(IF(AND(VLOOKUP(HK6,$NW$21:$NX$35,2,0)="Yes",NOT(ISNUMBER(VLOOKUP(DATE($A$2,$A$3+$A$1-1,HK5),HolidayList[Date],1,0)))),TRUE,FALSE),FALSE)</f>
        <v>0</v>
      </c>
      <c r="HL4" s="13" t="b">
        <f>IFERROR(IF(AND(VLOOKUP(HL6,$NW$21:$NX$35,2,0)="Yes",NOT(ISNUMBER(VLOOKUP(DATE($A$2,$A$3+$A$1-1,HL5),HolidayList[Date],1,0)))),TRUE,FALSE),FALSE)</f>
        <v>0</v>
      </c>
      <c r="HM4" s="13" t="b">
        <f>IFERROR(IF(AND(VLOOKUP(HM6,$NW$21:$NX$35,2,0)="Yes",NOT(ISNUMBER(VLOOKUP(DATE($A$2,$A$3+$A$1-1,HM5),HolidayList[Date],1,0)))),TRUE,FALSE),FALSE)</f>
        <v>0</v>
      </c>
      <c r="HN4" s="13" t="b">
        <f>IFERROR(IF(AND(VLOOKUP(HN6,$NW$21:$NX$35,2,0)="Yes",NOT(ISNUMBER(VLOOKUP(DATE($A$2,$A$3+$A$1-1,HN5),HolidayList[Date],1,0)))),TRUE,FALSE),FALSE)</f>
        <v>0</v>
      </c>
      <c r="HO4" s="13" t="b">
        <f>IFERROR(IF(AND(VLOOKUP(HO6,$NW$21:$NX$35,2,0)="Yes",NOT(ISNUMBER(VLOOKUP(DATE($A$2,$A$3+$A$1-1,HO5),HolidayList[Date],1,0)))),TRUE,FALSE),FALSE)</f>
        <v>0</v>
      </c>
      <c r="HP4" s="13" t="b">
        <f>IFERROR(IF(AND(VLOOKUP(HP6,$NW$21:$NX$35,2,0)="Yes",NOT(ISNUMBER(VLOOKUP(DATE($A$2,$A$3+$A$1-1,HP5),HolidayList[Date],1,0)))),TRUE,FALSE),FALSE)</f>
        <v>0</v>
      </c>
      <c r="HQ4" s="13" t="b">
        <f>IFERROR(IF(AND(VLOOKUP(HQ6,$NW$21:$NX$35,2,0)="Yes",NOT(ISNUMBER(VLOOKUP(DATE($A$2,$A$3+$A$1-1,HQ5),HolidayList[Date],1,0)))),TRUE,FALSE),FALSE)</f>
        <v>0</v>
      </c>
      <c r="HR4" s="13" t="b">
        <f>IFERROR(IF(AND(VLOOKUP(HR6,$NW$21:$NX$35,2,0)="Yes",NOT(ISNUMBER(VLOOKUP(DATE($A$2,$A$3+$A$1-1,HR5),HolidayList[Date],1,0)))),TRUE,FALSE),FALSE)</f>
        <v>0</v>
      </c>
      <c r="HS4" s="13" t="b">
        <f>IFERROR(IF(AND(VLOOKUP(HS6,$NW$21:$NX$35,2,0)="Yes",NOT(ISNUMBER(VLOOKUP(DATE($A$2,$A$3+$A$1-1,HS5),HolidayList[Date],1,0)))),TRUE,FALSE),FALSE)</f>
        <v>0</v>
      </c>
      <c r="HT4" s="13" t="b">
        <f>IFERROR(IF(AND(VLOOKUP(HT6,$NW$21:$NX$35,2,0)="Yes",NOT(ISNUMBER(VLOOKUP(DATE($A$2,$A$3+$A$1-1,HT5),HolidayList[Date],1,0)))),TRUE,FALSE),FALSE)</f>
        <v>0</v>
      </c>
      <c r="HU4" s="13" t="b">
        <f>IFERROR(IF(AND(VLOOKUP(HU6,$NW$21:$NX$35,2,0)="Yes",NOT(ISNUMBER(VLOOKUP(DATE($A$2,$A$3+$A$1-1,HU5),HolidayList[Date],1,0)))),TRUE,FALSE),FALSE)</f>
        <v>0</v>
      </c>
      <c r="HV4" s="13" t="b">
        <f>IFERROR(IF(AND(VLOOKUP(HV6,$NW$21:$NX$35,2,0)="Yes",NOT(ISNUMBER(VLOOKUP(DATE($A$2,$A$3+$A$1-1,HV5),HolidayList[Date],1,0)))),TRUE,FALSE),FALSE)</f>
        <v>0</v>
      </c>
      <c r="HW4" s="13" t="b">
        <f>IFERROR(IF(AND(VLOOKUP(HW6,$NW$21:$NX$35,2,0)="Yes",NOT(ISNUMBER(VLOOKUP(DATE($A$2,$A$3+$A$1-1,HW5),HolidayList[Date],1,0)))),TRUE,FALSE),FALSE)</f>
        <v>0</v>
      </c>
      <c r="HX4" s="13" t="b">
        <f>IFERROR(IF(AND(VLOOKUP(HX6,$NW$21:$NX$35,2,0)="Yes",NOT(ISNUMBER(VLOOKUP(DATE($A$2,$A$3+$A$1-1,HX5),HolidayList[Date],1,0)))),TRUE,FALSE),FALSE)</f>
        <v>0</v>
      </c>
      <c r="HY4" s="13" t="b">
        <f>IFERROR(IF(AND(VLOOKUP(HY6,$NW$21:$NX$35,2,0)="Yes",NOT(ISNUMBER(VLOOKUP(DATE($A$2,$A$3+$A$1-1,HY5),HolidayList[Date],1,0)))),TRUE,FALSE),FALSE)</f>
        <v>0</v>
      </c>
      <c r="HZ4" s="13" t="b">
        <f>IFERROR(IF(AND(VLOOKUP(HZ6,$NW$21:$NX$35,2,0)="Yes",NOT(ISNUMBER(VLOOKUP(DATE($A$2,$A$3+$A$1-1,HZ5),HolidayList[Date],1,0)))),TRUE,FALSE),FALSE)</f>
        <v>0</v>
      </c>
      <c r="IA4" s="13" t="b">
        <f>IFERROR(IF(AND(VLOOKUP(IA6,$NW$21:$NX$35,2,0)="Yes",NOT(ISNUMBER(VLOOKUP(DATE($A$2,$A$3+$A$1-1,IA5),HolidayList[Date],1,0)))),TRUE,FALSE),FALSE)</f>
        <v>0</v>
      </c>
      <c r="IB4" s="13" t="b">
        <f>IFERROR(IF(AND(VLOOKUP(IB6,$NW$21:$NX$35,2,0)="Yes",NOT(ISNUMBER(VLOOKUP(DATE($A$2,$A$3+$A$1-1,IB5),HolidayList[Date],1,0)))),TRUE,FALSE),FALSE)</f>
        <v>0</v>
      </c>
      <c r="IC4" s="13" t="b">
        <f>IFERROR(IF(AND(VLOOKUP(IC6,$NW$21:$NX$35,2,0)="Yes",NOT(ISNUMBER(VLOOKUP(DATE($A$2,$A$3+$A$1-1,IC5),HolidayList[Date],1,0)))),TRUE,FALSE),FALSE)</f>
        <v>0</v>
      </c>
      <c r="ID4" s="13" t="b">
        <f>IFERROR(IF(AND(VLOOKUP(ID6,$NW$21:$NX$35,2,0)="Yes",NOT(ISNUMBER(VLOOKUP(DATE($A$2,$A$3+$A$1-1,ID5),HolidayList[Date],1,0)))),TRUE,FALSE),FALSE)</f>
        <v>0</v>
      </c>
      <c r="IE4" s="13" t="b">
        <f>IFERROR(IF(AND(VLOOKUP(IE6,$NW$21:$NX$35,2,0)="Yes",NOT(ISNUMBER(VLOOKUP(DATE($A$2,$A$3+$A$1-1,IE5),HolidayList[Date],1,0)))),TRUE,FALSE),FALSE)</f>
        <v>0</v>
      </c>
      <c r="IF4" s="13" t="b">
        <f>IFERROR(IF(AND(VLOOKUP(IF6,$NW$21:$NX$35,2,0)="Yes",NOT(ISNUMBER(VLOOKUP(DATE($A$2,$A$3+$A$1-1,IF5),HolidayList[Date],1,0)))),TRUE,FALSE),FALSE)</f>
        <v>0</v>
      </c>
      <c r="IG4" s="13" t="b">
        <f>IFERROR(IF(AND(VLOOKUP(IG6,$NW$21:$NX$35,2,0)="Yes",NOT(ISNUMBER(VLOOKUP(DATE($A$2,$A$3+$A$1-1,IG5),HolidayList[Date],1,0)))),TRUE,FALSE),FALSE)</f>
        <v>0</v>
      </c>
      <c r="IH4" s="13" t="b">
        <f>IFERROR(IF(AND(VLOOKUP(IH6,$NW$21:$NX$35,2,0)="Yes",NOT(ISNUMBER(VLOOKUP(DATE($A$2,$A$3+$A$1-1,IH5),HolidayList[Date],1,0)))),TRUE,FALSE),FALSE)</f>
        <v>0</v>
      </c>
      <c r="II4" s="13" t="b">
        <f>IFERROR(IF(AND(VLOOKUP(II6,$NW$21:$NX$35,2,0)="Yes",NOT(ISNUMBER(VLOOKUP(DATE($A$2,$A$3+$A$1-1,II5),HolidayList[Date],1,0)))),TRUE,FALSE),FALSE)</f>
        <v>0</v>
      </c>
      <c r="IJ4" s="13" t="b">
        <f>IFERROR(IF(AND(VLOOKUP(IJ6,$NW$21:$NX$35,2,0)="Yes",NOT(ISNUMBER(VLOOKUP(DATE($A$2,$A$3+$A$1-1,IJ5),HolidayList[Date],1,0)))),TRUE,FALSE),FALSE)</f>
        <v>0</v>
      </c>
      <c r="IK4" s="13" t="b">
        <f>IFERROR(IF(AND(VLOOKUP(IK6,$NW$21:$NX$35,2,0)="Yes",NOT(ISNUMBER(VLOOKUP(DATE($A$2,$A$3+$A$1-1,IK5),HolidayList[Date],1,0)))),TRUE,FALSE),FALSE)</f>
        <v>0</v>
      </c>
      <c r="IL4" s="13" t="b">
        <f>IFERROR(IF(AND(VLOOKUP(IL6,$NW$21:$NX$35,2,0)="Yes",NOT(ISNUMBER(VLOOKUP(DATE($A$2,$A$3+$A$1-1,IL5),HolidayList[Date],1,0)))),TRUE,FALSE),FALSE)</f>
        <v>0</v>
      </c>
      <c r="IM4" s="13" t="b">
        <f>IFERROR(IF(AND(VLOOKUP(IM6,$NW$21:$NX$35,2,0)="Yes",NOT(ISNUMBER(VLOOKUP(DATE($A$2,$A$3+$A$1-1,IM5),HolidayList[Date],1,0)))),TRUE,FALSE),FALSE)</f>
        <v>0</v>
      </c>
      <c r="IN4" s="13" t="b">
        <f>IFERROR(IF(AND(VLOOKUP(IN6,$NW$21:$NX$35,2,0)="Yes",NOT(ISNUMBER(VLOOKUP(DATE($A$2,$A$3+$A$1-1,IN5),HolidayList[Date],1,0)))),TRUE,FALSE),FALSE)</f>
        <v>0</v>
      </c>
      <c r="IO4" s="13" t="b">
        <f>IFERROR(IF(AND(VLOOKUP(IO6,$NW$21:$NX$35,2,0)="Yes",NOT(ISNUMBER(VLOOKUP(DATE($A$2,$A$3+$A$1-1,IO5),HolidayList[Date],1,0)))),TRUE,FALSE),FALSE)</f>
        <v>0</v>
      </c>
      <c r="IP4" s="13" t="b">
        <f>IFERROR(IF(AND(VLOOKUP(IP6,$NW$21:$NX$35,2,0)="Yes",NOT(ISNUMBER(VLOOKUP(DATE($A$2,$A$3+$A$1-1,IP5),HolidayList[Date],1,0)))),TRUE,FALSE),FALSE)</f>
        <v>0</v>
      </c>
      <c r="IQ4" s="13" t="b">
        <f>IFERROR(IF(AND(VLOOKUP(IQ6,$NW$21:$NX$35,2,0)="Yes",NOT(ISNUMBER(VLOOKUP(DATE($A$2,$A$3+$A$1-1,IQ5),HolidayList[Date],1,0)))),TRUE,FALSE),FALSE)</f>
        <v>0</v>
      </c>
      <c r="IR4" s="13" t="b">
        <f>IFERROR(IF(AND(VLOOKUP(IR6,$NW$21:$NX$35,2,0)="Yes",NOT(ISNUMBER(VLOOKUP(DATE($A$2,$A$3+$A$1-1,IR5),HolidayList[Date],1,0)))),TRUE,FALSE),FALSE)</f>
        <v>0</v>
      </c>
      <c r="IS4" s="13" t="b">
        <f>IFERROR(IF(AND(VLOOKUP(IS6,$NW$21:$NX$35,2,0)="Yes",NOT(ISNUMBER(VLOOKUP(DATE($A$2,$A$3+$A$1-1,IS5),HolidayList[Date],1,0)))),TRUE,FALSE),FALSE)</f>
        <v>0</v>
      </c>
      <c r="IT4" s="13" t="b">
        <f>IFERROR(IF(AND(VLOOKUP(IT6,$NW$21:$NX$35,2,0)="Yes",NOT(ISNUMBER(VLOOKUP(DATE($A$2,$A$3+$A$1-1,IT5),HolidayList[Date],1,0)))),TRUE,FALSE),FALSE)</f>
        <v>0</v>
      </c>
      <c r="IU4" s="13" t="b">
        <f>IFERROR(IF(AND(VLOOKUP(IU6,$NW$21:$NX$35,2,0)="Yes",NOT(ISNUMBER(VLOOKUP(DATE($A$2,$A$3+$A$1-1,IU5),HolidayList[Date],1,0)))),TRUE,FALSE),FALSE)</f>
        <v>0</v>
      </c>
      <c r="IV4" s="13" t="b">
        <f>IFERROR(IF(AND(VLOOKUP(IV6,$NW$21:$NX$35,2,0)="Yes",NOT(ISNUMBER(VLOOKUP(DATE($A$2,$A$3+$A$1-1,IV5),HolidayList[Date],1,0)))),TRUE,FALSE),FALSE)</f>
        <v>0</v>
      </c>
      <c r="IW4" s="13" t="b">
        <f>IFERROR(IF(AND(VLOOKUP(IW6,$NW$21:$NX$35,2,0)="Yes",NOT(ISNUMBER(VLOOKUP(DATE($A$2,$A$3+$A$1-1,IW5),HolidayList[Date],1,0)))),TRUE,FALSE),FALSE)</f>
        <v>0</v>
      </c>
      <c r="IX4" s="13" t="b">
        <f>IFERROR(IF(AND(VLOOKUP(IX6,$NW$21:$NX$35,2,0)="Yes",NOT(ISNUMBER(VLOOKUP(DATE($A$2,$A$3+$A$1-1,IX5),HolidayList[Date],1,0)))),TRUE,FALSE),FALSE)</f>
        <v>0</v>
      </c>
      <c r="IY4" s="13" t="b">
        <f>IFERROR(IF(AND(VLOOKUP(IY6,$NW$21:$NX$35,2,0)="Yes",NOT(ISNUMBER(VLOOKUP(DATE($A$2,$A$3+$A$1-1,IY5),HolidayList[Date],1,0)))),TRUE,FALSE),FALSE)</f>
        <v>0</v>
      </c>
      <c r="IZ4" s="13" t="b">
        <f>IFERROR(IF(AND(VLOOKUP(IZ6,$NW$21:$NX$35,2,0)="Yes",NOT(ISNUMBER(VLOOKUP(DATE($A$2,$A$3+$A$1-1,IZ5),HolidayList[Date],1,0)))),TRUE,FALSE),FALSE)</f>
        <v>0</v>
      </c>
      <c r="JA4" s="13" t="b">
        <f>IFERROR(IF(AND(VLOOKUP(JA6,$NW$21:$NX$35,2,0)="Yes",NOT(ISNUMBER(VLOOKUP(DATE($A$2,$A$3+$A$1-1,JA5),HolidayList[Date],1,0)))),TRUE,FALSE),FALSE)</f>
        <v>0</v>
      </c>
      <c r="JB4" s="13" t="b">
        <f>IFERROR(IF(AND(VLOOKUP(JB6,$NW$21:$NX$35,2,0)="Yes",NOT(ISNUMBER(VLOOKUP(DATE($A$2,$A$3+$A$1-1,JB5),HolidayList[Date],1,0)))),TRUE,FALSE),FALSE)</f>
        <v>0</v>
      </c>
      <c r="JC4" s="13" t="b">
        <f>IFERROR(IF(AND(VLOOKUP(JC6,$NW$21:$NX$35,2,0)="Yes",NOT(ISNUMBER(VLOOKUP(DATE($A$2,$A$3+$A$1-1,JC5),HolidayList[Date],1,0)))),TRUE,FALSE),FALSE)</f>
        <v>0</v>
      </c>
      <c r="JD4" s="13" t="b">
        <f>IFERROR(IF(AND(VLOOKUP(JD6,$NW$21:$NX$35,2,0)="Yes",NOT(ISNUMBER(VLOOKUP(DATE($A$2,$A$3+$A$1-1,JD5),HolidayList[Date],1,0)))),TRUE,FALSE),FALSE)</f>
        <v>0</v>
      </c>
      <c r="JE4" s="13" t="b">
        <f>IFERROR(IF(AND(VLOOKUP(JE6,$NW$21:$NX$35,2,0)="Yes",NOT(ISNUMBER(VLOOKUP(DATE($A$2,$A$3+$A$1-1,JE5),HolidayList[Date],1,0)))),TRUE,FALSE),FALSE)</f>
        <v>0</v>
      </c>
      <c r="JF4" s="13" t="b">
        <f>IFERROR(IF(AND(VLOOKUP(JF6,$NW$21:$NX$35,2,0)="Yes",NOT(ISNUMBER(VLOOKUP(DATE($A$2,$A$3+$A$1-1,JF5),HolidayList[Date],1,0)))),TRUE,FALSE),FALSE)</f>
        <v>0</v>
      </c>
      <c r="JG4" s="13" t="b">
        <f>IFERROR(IF(AND(VLOOKUP(JG6,$NW$21:$NX$35,2,0)="Yes",NOT(ISNUMBER(VLOOKUP(DATE($A$2,$A$3+$A$1-1,JG5),HolidayList[Date],1,0)))),TRUE,FALSE),FALSE)</f>
        <v>0</v>
      </c>
      <c r="JH4" s="13" t="b">
        <f>IFERROR(IF(AND(VLOOKUP(JH6,$NW$21:$NX$35,2,0)="Yes",NOT(ISNUMBER(VLOOKUP(DATE($A$2,$A$3+$A$1-1,JH5),HolidayList[Date],1,0)))),TRUE,FALSE),FALSE)</f>
        <v>0</v>
      </c>
      <c r="JI4" s="13" t="b">
        <f>IFERROR(IF(AND(VLOOKUP(JI6,$NW$21:$NX$35,2,0)="Yes",NOT(ISNUMBER(VLOOKUP(DATE($A$2,$A$3+$A$1-1,JI5),HolidayList[Date],1,0)))),TRUE,FALSE),FALSE)</f>
        <v>0</v>
      </c>
      <c r="JJ4" s="13" t="b">
        <f>IFERROR(IF(AND(VLOOKUP(JJ6,$NW$21:$NX$35,2,0)="Yes",NOT(ISNUMBER(VLOOKUP(DATE($A$2,$A$3+$A$1-1,JJ5),HolidayList[Date],1,0)))),TRUE,FALSE),FALSE)</f>
        <v>0</v>
      </c>
      <c r="JK4" s="13" t="b">
        <f>IFERROR(IF(AND(VLOOKUP(JK6,$NW$21:$NX$35,2,0)="Yes",NOT(ISNUMBER(VLOOKUP(DATE($A$2,$A$3+$A$1-1,JK5),HolidayList[Date],1,0)))),TRUE,FALSE),FALSE)</f>
        <v>0</v>
      </c>
      <c r="JL4" s="13" t="b">
        <f>IFERROR(IF(AND(VLOOKUP(JL6,$NW$21:$NX$35,2,0)="Yes",NOT(ISNUMBER(VLOOKUP(DATE($A$2,$A$3+$A$1-1,JL5),HolidayList[Date],1,0)))),TRUE,FALSE),FALSE)</f>
        <v>0</v>
      </c>
      <c r="JM4" s="13" t="b">
        <f>IFERROR(IF(AND(VLOOKUP(JM6,$NW$21:$NX$35,2,0)="Yes",NOT(ISNUMBER(VLOOKUP(DATE($A$2,$A$3+$A$1-1,JM5),HolidayList[Date],1,0)))),TRUE,FALSE),FALSE)</f>
        <v>0</v>
      </c>
      <c r="JN4" s="13" t="b">
        <f>IFERROR(IF(AND(VLOOKUP(JN6,$NW$21:$NX$35,2,0)="Yes",NOT(ISNUMBER(VLOOKUP(DATE($A$2,$A$3+$A$1-1,JN5),HolidayList[Date],1,0)))),TRUE,FALSE),FALSE)</f>
        <v>0</v>
      </c>
      <c r="JO4" s="13" t="b">
        <f>IFERROR(IF(AND(VLOOKUP(JO6,$NW$21:$NX$35,2,0)="Yes",NOT(ISNUMBER(VLOOKUP(DATE($A$2,$A$3+$A$1-1,JO5),HolidayList[Date],1,0)))),TRUE,FALSE),FALSE)</f>
        <v>0</v>
      </c>
      <c r="JP4" s="13" t="b">
        <f>IFERROR(IF(AND(VLOOKUP(JP6,$NW$21:$NX$35,2,0)="Yes",NOT(ISNUMBER(VLOOKUP(DATE($A$2,$A$3+$A$1-1,JP5),HolidayList[Date],1,0)))),TRUE,FALSE),FALSE)</f>
        <v>0</v>
      </c>
      <c r="JQ4" s="13" t="b">
        <f>IFERROR(IF(AND(VLOOKUP(JQ6,$NW$21:$NX$35,2,0)="Yes",NOT(ISNUMBER(VLOOKUP(DATE($A$2,$A$3+$A$1-1,JQ5),HolidayList[Date],1,0)))),TRUE,FALSE),FALSE)</f>
        <v>0</v>
      </c>
      <c r="JR4" s="13" t="b">
        <f>IFERROR(IF(AND(VLOOKUP(JR6,$NW$21:$NX$35,2,0)="Yes",NOT(ISNUMBER(VLOOKUP(DATE($A$2,$A$3+$A$1-1,JR5),HolidayList[Date],1,0)))),TRUE,FALSE),FALSE)</f>
        <v>0</v>
      </c>
      <c r="JS4" s="13" t="b">
        <f>IFERROR(IF(AND(VLOOKUP(JS6,$NW$21:$NX$35,2,0)="Yes",NOT(ISNUMBER(VLOOKUP(DATE($A$2,$A$3+$A$1-1,JS5),HolidayList[Date],1,0)))),TRUE,FALSE),FALSE)</f>
        <v>0</v>
      </c>
      <c r="JT4" s="13" t="b">
        <f>IFERROR(IF(AND(VLOOKUP(JT6,$NW$21:$NX$35,2,0)="Yes",NOT(ISNUMBER(VLOOKUP(DATE($A$2,$A$3+$A$1-1,JT5),HolidayList[Date],1,0)))),TRUE,FALSE),FALSE)</f>
        <v>0</v>
      </c>
      <c r="JU4" s="13" t="b">
        <f>IFERROR(IF(AND(VLOOKUP(JU6,$NW$21:$NX$35,2,0)="Yes",NOT(ISNUMBER(VLOOKUP(DATE($A$2,$A$3+$A$1-1,JU5),HolidayList[Date],1,0)))),TRUE,FALSE),FALSE)</f>
        <v>0</v>
      </c>
      <c r="JV4" s="13" t="b">
        <f>IFERROR(IF(AND(VLOOKUP(JV6,$NW$21:$NX$35,2,0)="Yes",NOT(ISNUMBER(VLOOKUP(DATE($A$2,$A$3+$A$1-1,JV5),HolidayList[Date],1,0)))),TRUE,FALSE),FALSE)</f>
        <v>0</v>
      </c>
      <c r="JW4" s="13" t="b">
        <f>IFERROR(IF(AND(VLOOKUP(JW6,$NW$21:$NX$35,2,0)="Yes",NOT(ISNUMBER(VLOOKUP(DATE($A$2,$A$3+$A$1-1,JW5),HolidayList[Date],1,0)))),TRUE,FALSE),FALSE)</f>
        <v>0</v>
      </c>
      <c r="JX4" s="13" t="b">
        <f>IFERROR(IF(AND(VLOOKUP(JX6,$NW$21:$NX$35,2,0)="Yes",NOT(ISNUMBER(VLOOKUP(DATE($A$2,$A$3+$A$1-1,JX5),HolidayList[Date],1,0)))),TRUE,FALSE),FALSE)</f>
        <v>0</v>
      </c>
      <c r="JY4" s="13" t="b">
        <f>IFERROR(IF(AND(VLOOKUP(JY6,$NW$21:$NX$35,2,0)="Yes",NOT(ISNUMBER(VLOOKUP(DATE($A$2,$A$3+$A$1-1,JY5),HolidayList[Date],1,0)))),TRUE,FALSE),FALSE)</f>
        <v>0</v>
      </c>
      <c r="JZ4" s="13" t="b">
        <f>IFERROR(IF(AND(VLOOKUP(JZ6,$NW$21:$NX$35,2,0)="Yes",NOT(ISNUMBER(VLOOKUP(DATE($A$2,$A$3+$A$1-1,JZ5),HolidayList[Date],1,0)))),TRUE,FALSE),FALSE)</f>
        <v>0</v>
      </c>
      <c r="KA4" s="13" t="b">
        <f>IFERROR(IF(AND(VLOOKUP(KA6,$NW$21:$NX$35,2,0)="Yes",NOT(ISNUMBER(VLOOKUP(DATE($A$2,$A$3+$A$1-1,KA5),HolidayList[Date],1,0)))),TRUE,FALSE),FALSE)</f>
        <v>0</v>
      </c>
      <c r="KB4" s="13" t="b">
        <f>IFERROR(IF(AND(VLOOKUP(KB6,$NW$21:$NX$35,2,0)="Yes",NOT(ISNUMBER(VLOOKUP(DATE($A$2,$A$3+$A$1-1,KB5),HolidayList[Date],1,0)))),TRUE,FALSE),FALSE)</f>
        <v>0</v>
      </c>
      <c r="KC4" s="13" t="b">
        <f>IFERROR(IF(AND(VLOOKUP(KC6,$NW$21:$NX$35,2,0)="Yes",NOT(ISNUMBER(VLOOKUP(DATE($A$2,$A$3+$A$1-1,KC5),HolidayList[Date],1,0)))),TRUE,FALSE),FALSE)</f>
        <v>0</v>
      </c>
      <c r="KD4" s="13" t="b">
        <f>IFERROR(IF(AND(VLOOKUP(KD6,$NW$21:$NX$35,2,0)="Yes",NOT(ISNUMBER(VLOOKUP(DATE($A$2,$A$3+$A$1-1,KD5),HolidayList[Date],1,0)))),TRUE,FALSE),FALSE)</f>
        <v>0</v>
      </c>
      <c r="KE4" s="13" t="b">
        <f>IFERROR(IF(AND(VLOOKUP(KE6,$NW$21:$NX$35,2,0)="Yes",NOT(ISNUMBER(VLOOKUP(DATE($A$2,$A$3+$A$1-1,KE5),HolidayList[Date],1,0)))),TRUE,FALSE),FALSE)</f>
        <v>0</v>
      </c>
      <c r="KF4" s="13" t="b">
        <f>IFERROR(IF(AND(VLOOKUP(KF6,$NW$21:$NX$35,2,0)="Yes",NOT(ISNUMBER(VLOOKUP(DATE($A$2,$A$3+$A$1-1,KF5),HolidayList[Date],1,0)))),TRUE,FALSE),FALSE)</f>
        <v>0</v>
      </c>
      <c r="KG4" s="13" t="b">
        <f>IFERROR(IF(AND(VLOOKUP(KG6,$NW$21:$NX$35,2,0)="Yes",NOT(ISNUMBER(VLOOKUP(DATE($A$2,$A$3+$A$1-1,KG5),HolidayList[Date],1,0)))),TRUE,FALSE),FALSE)</f>
        <v>0</v>
      </c>
      <c r="KH4" s="13" t="b">
        <f>IFERROR(IF(AND(VLOOKUP(KH6,$NW$21:$NX$35,2,0)="Yes",NOT(ISNUMBER(VLOOKUP(DATE($A$2,$A$3+$A$1-1,KH5),HolidayList[Date],1,0)))),TRUE,FALSE),FALSE)</f>
        <v>0</v>
      </c>
      <c r="KI4" s="13" t="b">
        <f>IFERROR(IF(AND(VLOOKUP(KI6,$NW$21:$NX$35,2,0)="Yes",NOT(ISNUMBER(VLOOKUP(DATE($A$2,$A$3+$A$1-1,KI5),HolidayList[Date],1,0)))),TRUE,FALSE),FALSE)</f>
        <v>0</v>
      </c>
      <c r="KJ4" s="13" t="b">
        <f>IFERROR(IF(AND(VLOOKUP(KJ6,$NW$21:$NX$35,2,0)="Yes",NOT(ISNUMBER(VLOOKUP(DATE($A$2,$A$3+$A$1-1,KJ5),HolidayList[Date],1,0)))),TRUE,FALSE),FALSE)</f>
        <v>0</v>
      </c>
      <c r="KK4" s="13" t="b">
        <f>IFERROR(IF(AND(VLOOKUP(KK6,$NW$21:$NX$35,2,0)="Yes",NOT(ISNUMBER(VLOOKUP(DATE($A$2,$A$3+$A$1-1,KK5),HolidayList[Date],1,0)))),TRUE,FALSE),FALSE)</f>
        <v>0</v>
      </c>
      <c r="KL4" s="13" t="b">
        <f>IFERROR(IF(AND(VLOOKUP(KL6,$NW$21:$NX$35,2,0)="Yes",NOT(ISNUMBER(VLOOKUP(DATE($A$2,$A$3+$A$1-1,KL5),HolidayList[Date],1,0)))),TRUE,FALSE),FALSE)</f>
        <v>0</v>
      </c>
      <c r="KM4" s="13" t="b">
        <f>IFERROR(IF(AND(VLOOKUP(KM6,$NW$21:$NX$35,2,0)="Yes",NOT(ISNUMBER(VLOOKUP(DATE($A$2,$A$3+$A$1-1,KM5),HolidayList[Date],1,0)))),TRUE,FALSE),FALSE)</f>
        <v>0</v>
      </c>
      <c r="KN4" s="13" t="b">
        <f>IFERROR(IF(AND(VLOOKUP(KN6,$NW$21:$NX$35,2,0)="Yes",NOT(ISNUMBER(VLOOKUP(DATE($A$2,$A$3+$A$1-1,KN5),HolidayList[Date],1,0)))),TRUE,FALSE),FALSE)</f>
        <v>0</v>
      </c>
      <c r="KO4" s="13" t="b">
        <f>IFERROR(IF(AND(VLOOKUP(KO6,$NW$21:$NX$35,2,0)="Yes",NOT(ISNUMBER(VLOOKUP(DATE($A$2,$A$3+$A$1-1,KO5),HolidayList[Date],1,0)))),TRUE,FALSE),FALSE)</f>
        <v>0</v>
      </c>
      <c r="KP4" s="13" t="b">
        <f>IFERROR(IF(AND(VLOOKUP(KP6,$NW$21:$NX$35,2,0)="Yes",NOT(ISNUMBER(VLOOKUP(DATE($A$2,$A$3+$A$1-1,KP5),HolidayList[Date],1,0)))),TRUE,FALSE),FALSE)</f>
        <v>0</v>
      </c>
      <c r="KQ4" s="13" t="b">
        <f>IFERROR(IF(AND(VLOOKUP(KQ6,$NW$21:$NX$35,2,0)="Yes",NOT(ISNUMBER(VLOOKUP(DATE($A$2,$A$3+$A$1-1,KQ5),HolidayList[Date],1,0)))),TRUE,FALSE),FALSE)</f>
        <v>0</v>
      </c>
      <c r="KR4" s="13" t="b">
        <f>IFERROR(IF(AND(VLOOKUP(KR6,$NW$21:$NX$35,2,0)="Yes",NOT(ISNUMBER(VLOOKUP(DATE($A$2,$A$3+$A$1-1,KR5),HolidayList[Date],1,0)))),TRUE,FALSE),FALSE)</f>
        <v>0</v>
      </c>
      <c r="KS4" s="13" t="b">
        <f>IFERROR(IF(AND(VLOOKUP(KS6,$NW$21:$NX$35,2,0)="Yes",NOT(ISNUMBER(VLOOKUP(DATE($A$2,$A$3+$A$1-1,KS5),HolidayList[Date],1,0)))),TRUE,FALSE),FALSE)</f>
        <v>0</v>
      </c>
      <c r="KT4" s="13" t="b">
        <f>IFERROR(IF(AND(VLOOKUP(KT6,$NW$21:$NX$35,2,0)="Yes",NOT(ISNUMBER(VLOOKUP(DATE($A$2,$A$3+$A$1-1,KT5),HolidayList[Date],1,0)))),TRUE,FALSE),FALSE)</f>
        <v>0</v>
      </c>
      <c r="KU4" s="13" t="b">
        <f>IFERROR(IF(AND(VLOOKUP(KU6,$NW$21:$NX$35,2,0)="Yes",NOT(ISNUMBER(VLOOKUP(DATE($A$2,$A$3+$A$1-1,KU5),HolidayList[Date],1,0)))),TRUE,FALSE),FALSE)</f>
        <v>0</v>
      </c>
      <c r="KV4" s="13" t="b">
        <f>IFERROR(IF(AND(VLOOKUP(KV6,$NW$21:$NX$35,2,0)="Yes",NOT(ISNUMBER(VLOOKUP(DATE($A$2,$A$3+$A$1-1,KV5),HolidayList[Date],1,0)))),TRUE,FALSE),FALSE)</f>
        <v>0</v>
      </c>
      <c r="KW4" s="13" t="b">
        <f>IFERROR(IF(AND(VLOOKUP(KW6,$NW$21:$NX$35,2,0)="Yes",NOT(ISNUMBER(VLOOKUP(DATE($A$2,$A$3+$A$1-1,KW5),HolidayList[Date],1,0)))),TRUE,FALSE),FALSE)</f>
        <v>0</v>
      </c>
      <c r="KX4" s="13" t="b">
        <f>IFERROR(IF(AND(VLOOKUP(KX6,$NW$21:$NX$35,2,0)="Yes",NOT(ISNUMBER(VLOOKUP(DATE($A$2,$A$3+$A$1-1,KX5),HolidayList[Date],1,0)))),TRUE,FALSE),FALSE)</f>
        <v>0</v>
      </c>
      <c r="KY4" s="13" t="b">
        <f>IFERROR(IF(AND(VLOOKUP(KY6,$NW$21:$NX$35,2,0)="Yes",NOT(ISNUMBER(VLOOKUP(DATE($A$2,$A$3+$A$1-1,KY5),HolidayList[Date],1,0)))),TRUE,FALSE),FALSE)</f>
        <v>0</v>
      </c>
      <c r="KZ4" s="13" t="b">
        <f>IFERROR(IF(AND(VLOOKUP(KZ6,$NW$21:$NX$35,2,0)="Yes",NOT(ISNUMBER(VLOOKUP(DATE($A$2,$A$3+$A$1-1,KZ5),HolidayList[Date],1,0)))),TRUE,FALSE),FALSE)</f>
        <v>0</v>
      </c>
      <c r="LA4" s="13" t="b">
        <f>IFERROR(IF(AND(VLOOKUP(LA6,$NW$21:$NX$35,2,0)="Yes",NOT(ISNUMBER(VLOOKUP(DATE($A$2,$A$3+$A$1-1,LA5),HolidayList[Date],1,0)))),TRUE,FALSE),FALSE)</f>
        <v>0</v>
      </c>
      <c r="LB4" s="13" t="b">
        <f>IFERROR(IF(AND(VLOOKUP(LB6,$NW$21:$NX$35,2,0)="Yes",NOT(ISNUMBER(VLOOKUP(DATE($A$2,$A$3+$A$1-1,LB5),HolidayList[Date],1,0)))),TRUE,FALSE),FALSE)</f>
        <v>0</v>
      </c>
      <c r="LC4" s="13" t="b">
        <f>IFERROR(IF(AND(VLOOKUP(LC6,$NW$21:$NX$35,2,0)="Yes",NOT(ISNUMBER(VLOOKUP(DATE($A$2,$A$3+$A$1-1,LC5),HolidayList[Date],1,0)))),TRUE,FALSE),FALSE)</f>
        <v>0</v>
      </c>
      <c r="LD4" s="13" t="b">
        <f>IFERROR(IF(AND(VLOOKUP(LD6,$NW$21:$NX$35,2,0)="Yes",NOT(ISNUMBER(VLOOKUP(DATE($A$2,$A$3+$A$1-1,LD5),HolidayList[Date],1,0)))),TRUE,FALSE),FALSE)</f>
        <v>0</v>
      </c>
      <c r="LE4" s="13" t="b">
        <f>IFERROR(IF(AND(VLOOKUP(LE6,$NW$21:$NX$35,2,0)="Yes",NOT(ISNUMBER(VLOOKUP(DATE($A$2,$A$3+$A$1-1,LE5),HolidayList[Date],1,0)))),TRUE,FALSE),FALSE)</f>
        <v>0</v>
      </c>
      <c r="LF4" s="13" t="b">
        <f>IFERROR(IF(AND(VLOOKUP(LF6,$NW$21:$NX$35,2,0)="Yes",NOT(ISNUMBER(VLOOKUP(DATE($A$2,$A$3+$A$1-1,LF5),HolidayList[Date],1,0)))),TRUE,FALSE),FALSE)</f>
        <v>0</v>
      </c>
      <c r="LG4" s="13" t="b">
        <f>IFERROR(IF(AND(VLOOKUP(LG6,$NW$21:$NX$35,2,0)="Yes",NOT(ISNUMBER(VLOOKUP(DATE($A$2,$A$3+$A$1-1,LG5),HolidayList[Date],1,0)))),TRUE,FALSE),FALSE)</f>
        <v>0</v>
      </c>
      <c r="LH4" s="13" t="b">
        <f>IFERROR(IF(AND(VLOOKUP(LH6,$NW$21:$NX$35,2,0)="Yes",NOT(ISNUMBER(VLOOKUP(DATE($A$2,$A$3+$A$1-1,LH5),HolidayList[Date],1,0)))),TRUE,FALSE),FALSE)</f>
        <v>0</v>
      </c>
      <c r="LI4" s="13" t="b">
        <f>IFERROR(IF(AND(VLOOKUP(LI6,$NW$21:$NX$35,2,0)="Yes",NOT(ISNUMBER(VLOOKUP(DATE($A$2,$A$3+$A$1-1,LI5),HolidayList[Date],1,0)))),TRUE,FALSE),FALSE)</f>
        <v>0</v>
      </c>
      <c r="LJ4" s="13" t="b">
        <f>IFERROR(IF(AND(VLOOKUP(LJ6,$NW$21:$NX$35,2,0)="Yes",NOT(ISNUMBER(VLOOKUP(DATE($A$2,$A$3+$A$1-1,LJ5),HolidayList[Date],1,0)))),TRUE,FALSE),FALSE)</f>
        <v>0</v>
      </c>
      <c r="LK4" s="13" t="b">
        <f>IFERROR(IF(AND(VLOOKUP(LK6,$NW$21:$NX$35,2,0)="Yes",NOT(ISNUMBER(VLOOKUP(DATE($A$2,$A$3+$A$1-1,LK5),HolidayList[Date],1,0)))),TRUE,FALSE),FALSE)</f>
        <v>0</v>
      </c>
      <c r="LL4" s="13" t="b">
        <f>IFERROR(IF(AND(VLOOKUP(LL6,$NW$21:$NX$35,2,0)="Yes",NOT(ISNUMBER(VLOOKUP(DATE($A$2,$A$3+$A$1-1,LL5),HolidayList[Date],1,0)))),TRUE,FALSE),FALSE)</f>
        <v>0</v>
      </c>
      <c r="LM4" s="13" t="b">
        <f>IFERROR(IF(AND(VLOOKUP(LM6,$NW$21:$NX$35,2,0)="Yes",NOT(ISNUMBER(VLOOKUP(DATE($A$2,$A$3+$A$1-1,LM5),HolidayList[Date],1,0)))),TRUE,FALSE),FALSE)</f>
        <v>0</v>
      </c>
      <c r="LN4" s="13" t="b">
        <f>IFERROR(IF(AND(VLOOKUP(LN6,$NW$21:$NX$35,2,0)="Yes",NOT(ISNUMBER(VLOOKUP(DATE($A$2,$A$3+$A$1-1,LN5),HolidayList[Date],1,0)))),TRUE,FALSE),FALSE)</f>
        <v>0</v>
      </c>
      <c r="LO4" s="13" t="b">
        <f>IFERROR(IF(AND(VLOOKUP(LO6,$NW$21:$NX$35,2,0)="Yes",NOT(ISNUMBER(VLOOKUP(DATE($A$2,$A$3+$A$1-1,LO5),HolidayList[Date],1,0)))),TRUE,FALSE),FALSE)</f>
        <v>0</v>
      </c>
      <c r="LP4" s="13" t="b">
        <f>IFERROR(IF(AND(VLOOKUP(LP6,$NW$21:$NX$35,2,0)="Yes",NOT(ISNUMBER(VLOOKUP(DATE($A$2,$A$3+$A$1-1,LP5),HolidayList[Date],1,0)))),TRUE,FALSE),FALSE)</f>
        <v>0</v>
      </c>
      <c r="LQ4" s="13" t="b">
        <f>IFERROR(IF(AND(VLOOKUP(LQ6,$NW$21:$NX$35,2,0)="Yes",NOT(ISNUMBER(VLOOKUP(DATE($A$2,$A$3+$A$1-1,LQ5),HolidayList[Date],1,0)))),TRUE,FALSE),FALSE)</f>
        <v>0</v>
      </c>
      <c r="LR4" s="13" t="b">
        <f>IFERROR(IF(AND(VLOOKUP(LR6,$NW$21:$NX$35,2,0)="Yes",NOT(ISNUMBER(VLOOKUP(DATE($A$2,$A$3+$A$1-1,LR5),HolidayList[Date],1,0)))),TRUE,FALSE),FALSE)</f>
        <v>0</v>
      </c>
      <c r="LS4" s="13" t="b">
        <f>IFERROR(IF(AND(VLOOKUP(LS6,$NW$21:$NX$35,2,0)="Yes",NOT(ISNUMBER(VLOOKUP(DATE($A$2,$A$3+$A$1-1,LS5),HolidayList[Date],1,0)))),TRUE,FALSE),FALSE)</f>
        <v>0</v>
      </c>
      <c r="LT4" s="13" t="b">
        <f>IFERROR(IF(AND(VLOOKUP(LT6,$NW$21:$NX$35,2,0)="Yes",NOT(ISNUMBER(VLOOKUP(DATE($A$2,$A$3+$A$1-1,LT5),HolidayList[Date],1,0)))),TRUE,FALSE),FALSE)</f>
        <v>0</v>
      </c>
      <c r="LU4" s="13" t="b">
        <f>IFERROR(IF(AND(VLOOKUP(LU6,$NW$21:$NX$35,2,0)="Yes",NOT(ISNUMBER(VLOOKUP(DATE($A$2,$A$3+$A$1-1,LU5),HolidayList[Date],1,0)))),TRUE,FALSE),FALSE)</f>
        <v>0</v>
      </c>
      <c r="LV4" s="13" t="b">
        <f>IFERROR(IF(AND(VLOOKUP(LV6,$NW$21:$NX$35,2,0)="Yes",NOT(ISNUMBER(VLOOKUP(DATE($A$2,$A$3+$A$1-1,LV5),HolidayList[Date],1,0)))),TRUE,FALSE),FALSE)</f>
        <v>0</v>
      </c>
      <c r="LW4" s="13" t="b">
        <f>IFERROR(IF(AND(VLOOKUP(LW6,$NW$21:$NX$35,2,0)="Yes",NOT(ISNUMBER(VLOOKUP(DATE($A$2,$A$3+$A$1-1,LW5),HolidayList[Date],1,0)))),TRUE,FALSE),FALSE)</f>
        <v>0</v>
      </c>
      <c r="LX4" s="13" t="b">
        <f>IFERROR(IF(AND(VLOOKUP(LX6,$NW$21:$NX$35,2,0)="Yes",NOT(ISNUMBER(VLOOKUP(DATE($A$2,$A$3+$A$1-1,LX5),HolidayList[Date],1,0)))),TRUE,FALSE),FALSE)</f>
        <v>0</v>
      </c>
      <c r="LY4" s="13" t="b">
        <f>IFERROR(IF(AND(VLOOKUP(LY6,$NW$21:$NX$35,2,0)="Yes",NOT(ISNUMBER(VLOOKUP(DATE($A$2,$A$3+$A$1-1,LY5),HolidayList[Date],1,0)))),TRUE,FALSE),FALSE)</f>
        <v>0</v>
      </c>
      <c r="LZ4" s="13" t="b">
        <f>IFERROR(IF(AND(VLOOKUP(LZ6,$NW$21:$NX$35,2,0)="Yes",NOT(ISNUMBER(VLOOKUP(DATE($A$2,$A$3+$A$1-1,LZ5),HolidayList[Date],1,0)))),TRUE,FALSE),FALSE)</f>
        <v>0</v>
      </c>
      <c r="MA4" s="13" t="b">
        <f>IFERROR(IF(AND(VLOOKUP(MA6,$NW$21:$NX$35,2,0)="Yes",NOT(ISNUMBER(VLOOKUP(DATE($A$2,$A$3+$A$1-1,MA5),HolidayList[Date],1,0)))),TRUE,FALSE),FALSE)</f>
        <v>0</v>
      </c>
      <c r="MB4" s="13" t="b">
        <f>IFERROR(IF(AND(VLOOKUP(MB6,$NW$21:$NX$35,2,0)="Yes",NOT(ISNUMBER(VLOOKUP(DATE($A$2,$A$3+$A$1-1,MB5),HolidayList[Date],1,0)))),TRUE,FALSE),FALSE)</f>
        <v>0</v>
      </c>
      <c r="MC4" s="13" t="b">
        <f>IFERROR(IF(AND(VLOOKUP(MC6,$NW$21:$NX$35,2,0)="Yes",NOT(ISNUMBER(VLOOKUP(DATE($A$2,$A$3+$A$1-1,MC5),HolidayList[Date],1,0)))),TRUE,FALSE),FALSE)</f>
        <v>0</v>
      </c>
      <c r="MD4" s="13" t="b">
        <f>IFERROR(IF(AND(VLOOKUP(MD6,$NW$21:$NX$35,2,0)="Yes",NOT(ISNUMBER(VLOOKUP(DATE($A$2,$A$3+$A$1-1,MD5),HolidayList[Date],1,0)))),TRUE,FALSE),FALSE)</f>
        <v>0</v>
      </c>
      <c r="ME4" s="13" t="b">
        <f>IFERROR(IF(AND(VLOOKUP(ME6,$NW$21:$NX$35,2,0)="Yes",NOT(ISNUMBER(VLOOKUP(DATE($A$2,$A$3+$A$1-1,ME5),HolidayList[Date],1,0)))),TRUE,FALSE),FALSE)</f>
        <v>1</v>
      </c>
      <c r="MF4" s="13" t="b">
        <f>IFERROR(IF(AND(VLOOKUP(MF6,$NW$21:$NX$35,2,0)="Yes",NOT(ISNUMBER(VLOOKUP(DATE($A$2,$A$3+$A$1-1,MF5),HolidayList[Date],1,0)))),TRUE,FALSE),FALSE)</f>
        <v>1</v>
      </c>
      <c r="MG4" s="13" t="b">
        <f>IFERROR(IF(AND(VLOOKUP(MG6,$NW$21:$NX$35,2,0)="Yes",NOT(ISNUMBER(VLOOKUP(DATE($A$2,$A$3+$A$1-1,MG5),HolidayList[Date],1,0)))),TRUE,FALSE),FALSE)</f>
        <v>1</v>
      </c>
      <c r="MH4" s="13" t="b">
        <f>IFERROR(IF(AND(VLOOKUP(MH6,$NW$21:$NX$35,2,0)="Yes",NOT(ISNUMBER(VLOOKUP(DATE($A$2,$A$3+$A$1-1,MH5),HolidayList[Date],1,0)))),TRUE,FALSE),FALSE)</f>
        <v>1</v>
      </c>
      <c r="MI4" s="13" t="b">
        <f>IFERROR(IF(AND(VLOOKUP(MI6,$NW$21:$NX$35,2,0)="Yes",NOT(ISNUMBER(VLOOKUP(DATE($A$2,$A$3+$A$1-1,MI5),HolidayList[Date],1,0)))),TRUE,FALSE),FALSE)</f>
        <v>1</v>
      </c>
      <c r="MJ4" s="13" t="b">
        <f>IFERROR(IF(AND(VLOOKUP(MJ6,$NW$21:$NX$35,2,0)="Yes",NOT(ISNUMBER(VLOOKUP(DATE($A$2,$A$3+$A$1-1,MJ5),HolidayList[Date],1,0)))),TRUE,FALSE),FALSE)</f>
        <v>0</v>
      </c>
      <c r="MK4" s="13" t="b">
        <f>IFERROR(IF(AND(VLOOKUP(MK6,$NW$21:$NX$35,2,0)="Yes",NOT(ISNUMBER(VLOOKUP(DATE($A$2,$A$3+$A$1-1,MK5),HolidayList[Date],1,0)))),TRUE,FALSE),FALSE)</f>
        <v>0</v>
      </c>
      <c r="ML4" s="13" t="b">
        <f>IFERROR(IF(AND(VLOOKUP(ML6,$NW$21:$NX$35,2,0)="Yes",NOT(ISNUMBER(VLOOKUP(DATE($A$2,$A$3+$A$1-1,ML5),HolidayList[Date],1,0)))),TRUE,FALSE),FALSE)</f>
        <v>1</v>
      </c>
      <c r="MM4" s="13" t="b">
        <f>IFERROR(IF(AND(VLOOKUP(MM6,$NW$21:$NX$35,2,0)="Yes",NOT(ISNUMBER(VLOOKUP(DATE($A$2,$A$3+$A$1-1,MM5),HolidayList[Date],1,0)))),TRUE,FALSE),FALSE)</f>
        <v>1</v>
      </c>
      <c r="MN4" s="13" t="b">
        <f>IFERROR(IF(AND(VLOOKUP(MN6,$NW$21:$NX$35,2,0)="Yes",NOT(ISNUMBER(VLOOKUP(DATE($A$2,$A$3+$A$1-1,MN5),HolidayList[Date],1,0)))),TRUE,FALSE),FALSE)</f>
        <v>1</v>
      </c>
      <c r="MO4" s="13" t="b">
        <f>IFERROR(IF(AND(VLOOKUP(MO6,$NW$21:$NX$35,2,0)="Yes",NOT(ISNUMBER(VLOOKUP(DATE($A$2,$A$3+$A$1-1,MO5),HolidayList[Date],1,0)))),TRUE,FALSE),FALSE)</f>
        <v>1</v>
      </c>
      <c r="MP4" s="13" t="b">
        <f>IFERROR(IF(AND(VLOOKUP(MP6,$NW$21:$NX$35,2,0)="Yes",NOT(ISNUMBER(VLOOKUP(DATE($A$2,$A$3+$A$1-1,MP5),HolidayList[Date],1,0)))),TRUE,FALSE),FALSE)</f>
        <v>1</v>
      </c>
      <c r="MQ4" s="13" t="b">
        <f>IFERROR(IF(AND(VLOOKUP(MQ6,$NW$21:$NX$35,2,0)="Yes",NOT(ISNUMBER(VLOOKUP(DATE($A$2,$A$3+$A$1-1,MQ5),HolidayList[Date],1,0)))),TRUE,FALSE),FALSE)</f>
        <v>0</v>
      </c>
      <c r="MR4" s="13" t="b">
        <f>IFERROR(IF(AND(VLOOKUP(MR6,$NW$21:$NX$35,2,0)="Yes",NOT(ISNUMBER(VLOOKUP(DATE($A$2,$A$3+$A$1-1,MR5),HolidayList[Date],1,0)))),TRUE,FALSE),FALSE)</f>
        <v>0</v>
      </c>
      <c r="MS4" s="13" t="b">
        <f>IFERROR(IF(AND(VLOOKUP(MS6,$NW$21:$NX$35,2,0)="Yes",NOT(ISNUMBER(VLOOKUP(DATE($A$2,$A$3+$A$1-1,MS5),HolidayList[Date],1,0)))),TRUE,FALSE),FALSE)</f>
        <v>1</v>
      </c>
      <c r="MT4" s="13" t="b">
        <f>IFERROR(IF(AND(VLOOKUP(MT6,$NW$21:$NX$35,2,0)="Yes",NOT(ISNUMBER(VLOOKUP(DATE($A$2,$A$3+$A$1-1,MT5),HolidayList[Date],1,0)))),TRUE,FALSE),FALSE)</f>
        <v>1</v>
      </c>
      <c r="MU4" s="13" t="b">
        <f>IFERROR(IF(AND(VLOOKUP(MU6,$NW$21:$NX$35,2,0)="Yes",NOT(ISNUMBER(VLOOKUP(DATE($A$2,$A$3+$A$1-1,MU5),HolidayList[Date],1,0)))),TRUE,FALSE),FALSE)</f>
        <v>1</v>
      </c>
      <c r="MV4" s="13" t="b">
        <f>IFERROR(IF(AND(VLOOKUP(MV6,$NW$21:$NX$35,2,0)="Yes",NOT(ISNUMBER(VLOOKUP(DATE($A$2,$A$3+$A$1-1,MV5),HolidayList[Date],1,0)))),TRUE,FALSE),FALSE)</f>
        <v>1</v>
      </c>
      <c r="MW4" s="13" t="b">
        <f>IFERROR(IF(AND(VLOOKUP(MW6,$NW$21:$NX$35,2,0)="Yes",NOT(ISNUMBER(VLOOKUP(DATE($A$2,$A$3+$A$1-1,MW5),HolidayList[Date],1,0)))),TRUE,FALSE),FALSE)</f>
        <v>1</v>
      </c>
      <c r="MX4" s="13" t="b">
        <f>IFERROR(IF(AND(VLOOKUP(MX6,$NW$21:$NX$35,2,0)="Yes",NOT(ISNUMBER(VLOOKUP(DATE($A$2,$A$3+$A$1-1,MX5),HolidayList[Date],1,0)))),TRUE,FALSE),FALSE)</f>
        <v>0</v>
      </c>
      <c r="MY4" s="13" t="b">
        <f>IFERROR(IF(AND(VLOOKUP(MY6,$NW$21:$NX$35,2,0)="Yes",NOT(ISNUMBER(VLOOKUP(DATE($A$2,$A$3+$A$1-1,MY5),HolidayList[Date],1,0)))),TRUE,FALSE),FALSE)</f>
        <v>0</v>
      </c>
      <c r="MZ4" s="13" t="b">
        <f>IFERROR(IF(AND(VLOOKUP(MZ6,$NW$21:$NX$35,2,0)="Yes",NOT(ISNUMBER(VLOOKUP(DATE($A$2,$A$3+$A$1-1,MZ5),HolidayList[Date],1,0)))),TRUE,FALSE),FALSE)</f>
        <v>1</v>
      </c>
      <c r="NA4" s="13" t="b">
        <f>IFERROR(IF(AND(VLOOKUP(NA6,$NW$21:$NX$35,2,0)="Yes",NOT(ISNUMBER(VLOOKUP(DATE($A$2,$A$3+$A$1-1,NA5),HolidayList[Date],1,0)))),TRUE,FALSE),FALSE)</f>
        <v>1</v>
      </c>
      <c r="NB4" s="13" t="b">
        <f>IFERROR(IF(AND(VLOOKUP(NB6,$NW$21:$NX$35,2,0)="Yes",NOT(ISNUMBER(VLOOKUP(DATE($A$2,$A$3+$A$1-1,NB5),HolidayList[Date],1,0)))),TRUE,FALSE),FALSE)</f>
        <v>1</v>
      </c>
      <c r="NC4" s="13" t="b">
        <f>IFERROR(IF(AND(VLOOKUP(NC6,$NW$21:$NX$35,2,0)="Yes",NOT(ISNUMBER(VLOOKUP(DATE($A$2,$A$3+$A$1-1,NC5),HolidayList[Date],1,0)))),TRUE,FALSE),FALSE)</f>
        <v>1</v>
      </c>
      <c r="ND4" s="13" t="b">
        <f>IFERROR(IF(AND(VLOOKUP(ND6,$NW$21:$NX$35,2,0)="Yes",NOT(ISNUMBER(VLOOKUP(DATE($A$2,$A$3+$A$1-1,ND5),HolidayList[Date],1,0)))),TRUE,FALSE),FALSE)</f>
        <v>1</v>
      </c>
      <c r="NE4" s="13" t="b">
        <f>IFERROR(IF(AND(VLOOKUP(NE6,$NW$21:$NX$35,2,0)="Yes",NOT(ISNUMBER(VLOOKUP(DATE($A$2,$A$3+$A$1-1,NE5),HolidayList[Date],1,0)))),TRUE,FALSE),FALSE)</f>
        <v>0</v>
      </c>
      <c r="NF4" s="13" t="b">
        <f>IFERROR(IF(AND(VLOOKUP(NF6,$NW$21:$NX$35,2,0)="Yes",NOT(ISNUMBER(VLOOKUP(DATE($A$2,$A$3+$A$1-1,NF5),HolidayList[Date],1,0)))),TRUE,FALSE),FALSE)</f>
        <v>0</v>
      </c>
      <c r="NG4" s="13" t="b">
        <f>IFERROR(IF(AND(VLOOKUP(NG6,$NW$21:$NX$35,2,0)="Yes",NOT(ISNUMBER(VLOOKUP(DATE($A$2,$A$3+$A$1-1,NG5),HolidayList[Date],1,0)))),TRUE,FALSE),FALSE)</f>
        <v>1</v>
      </c>
      <c r="NH4" s="13" t="b">
        <f>IFERROR(IF(AND(VLOOKUP(NH6,$NW$21:$NX$35,2,0)="Yes",NOT(ISNUMBER(VLOOKUP(DATE($A$2,$A$3+$A$1-1,NH5),HolidayList[Date],1,0)))),TRUE,FALSE),FALSE)</f>
        <v>1</v>
      </c>
      <c r="NI4" s="13" t="b">
        <f>IFERROR(IF(AND(VLOOKUP(NI6,$NW$21:$NX$35,2,0)="Yes",NOT(ISNUMBER(VLOOKUP(DATE($A$2,$A$3+$A$1-1,NI5),HolidayList[Date],1,0)))),TRUE,FALSE),FALSE)</f>
        <v>1</v>
      </c>
      <c r="NJ4" s="13" t="b">
        <f>IFERROR(IF(AND(VLOOKUP(NJ6,$NW$21:$NX$35,2,0)="Yes",NOT(ISNUMBER(VLOOKUP(DATE($A$2,$A$3+$A$1-1,NJ5),HolidayList[Date],1,0)))),TRUE,FALSE),FALSE)</f>
        <v>0</v>
      </c>
      <c r="NL4" s="27"/>
      <c r="NM4" s="27"/>
      <c r="NN4" s="27"/>
      <c r="NO4" s="27"/>
      <c r="NP4" s="27"/>
      <c r="NQ4" s="28"/>
      <c r="NR4" s="28"/>
      <c r="NS4" s="28"/>
      <c r="NT4" s="28"/>
      <c r="NU4" s="29"/>
    </row>
    <row r="5" spans="1:761" x14ac:dyDescent="0.25">
      <c r="A5" s="1"/>
      <c r="B5" s="6" t="str">
        <f>IF(AND((COLUMN()-1)&gt;31*($A$3-1),MONTH(DATE($A$2+INT(($A$3+$A$1)/12),IF((INT((COLUMN()-1)/31.001)+$A$1)&gt;12,(INT((COLUMN()-1)/31.001)+$A$1-12),INT((COLUMN()-1)/31.001)+$A$1),ROUNDUP(MOD(COLUMN()-1,31.001),0)))=ROUNDUP(MOD($A$1+$A$3-1,12.01),0)),ROUNDUP(MOD(COLUMN()-1,31.001),0),"")</f>
        <v/>
      </c>
      <c r="C5" s="6" t="str">
        <f t="shared" ref="C5:BN5" si="0">IF(AND((COLUMN()-1)&gt;31*($A$3-1),MONTH(DATE($A$2+INT(($A$3+$A$1)/12),IF((INT((COLUMN()-1)/31.001)+$A$1)&gt;12,(INT((COLUMN()-1)/31.001)+$A$1-12),INT((COLUMN()-1)/31.001)+$A$1),ROUNDUP(MOD(COLUMN()-1,31.001),0)))=ROUNDUP(MOD($A$1+$A$3-1,12.01),0)),ROUNDUP(MOD(COLUMN()-1,31.001),0),"")</f>
        <v/>
      </c>
      <c r="D5" s="6" t="str">
        <f t="shared" si="0"/>
        <v/>
      </c>
      <c r="E5" s="6" t="str">
        <f t="shared" si="0"/>
        <v/>
      </c>
      <c r="F5" s="6" t="str">
        <f t="shared" si="0"/>
        <v/>
      </c>
      <c r="G5" s="6" t="str">
        <f t="shared" si="0"/>
        <v/>
      </c>
      <c r="H5" s="6" t="str">
        <f t="shared" si="0"/>
        <v/>
      </c>
      <c r="I5" s="6" t="str">
        <f t="shared" si="0"/>
        <v/>
      </c>
      <c r="J5" s="6" t="str">
        <f t="shared" si="0"/>
        <v/>
      </c>
      <c r="K5" s="6" t="str">
        <f t="shared" si="0"/>
        <v/>
      </c>
      <c r="L5" s="6" t="str">
        <f t="shared" si="0"/>
        <v/>
      </c>
      <c r="M5" s="6" t="str">
        <f t="shared" si="0"/>
        <v/>
      </c>
      <c r="N5" s="6" t="str">
        <f t="shared" si="0"/>
        <v/>
      </c>
      <c r="O5" s="6" t="str">
        <f t="shared" si="0"/>
        <v/>
      </c>
      <c r="P5" s="6" t="str">
        <f t="shared" si="0"/>
        <v/>
      </c>
      <c r="Q5" s="6" t="str">
        <f t="shared" si="0"/>
        <v/>
      </c>
      <c r="R5" s="6" t="str">
        <f t="shared" si="0"/>
        <v/>
      </c>
      <c r="S5" s="6" t="str">
        <f t="shared" si="0"/>
        <v/>
      </c>
      <c r="T5" s="6" t="str">
        <f t="shared" si="0"/>
        <v/>
      </c>
      <c r="U5" s="6" t="str">
        <f t="shared" si="0"/>
        <v/>
      </c>
      <c r="V5" s="6" t="str">
        <f t="shared" si="0"/>
        <v/>
      </c>
      <c r="W5" s="6" t="str">
        <f t="shared" si="0"/>
        <v/>
      </c>
      <c r="X5" s="6" t="str">
        <f t="shared" si="0"/>
        <v/>
      </c>
      <c r="Y5" s="6" t="str">
        <f t="shared" si="0"/>
        <v/>
      </c>
      <c r="Z5" s="6" t="str">
        <f t="shared" si="0"/>
        <v/>
      </c>
      <c r="AA5" s="6" t="str">
        <f t="shared" si="0"/>
        <v/>
      </c>
      <c r="AB5" s="6" t="str">
        <f t="shared" si="0"/>
        <v/>
      </c>
      <c r="AC5" s="6" t="str">
        <f t="shared" si="0"/>
        <v/>
      </c>
      <c r="AD5" s="6" t="str">
        <f t="shared" si="0"/>
        <v/>
      </c>
      <c r="AE5" s="6" t="str">
        <f t="shared" si="0"/>
        <v/>
      </c>
      <c r="AF5" s="6" t="str">
        <f t="shared" si="0"/>
        <v/>
      </c>
      <c r="AG5" s="6" t="str">
        <f t="shared" si="0"/>
        <v/>
      </c>
      <c r="AH5" s="6" t="str">
        <f t="shared" si="0"/>
        <v/>
      </c>
      <c r="AI5" s="6" t="str">
        <f t="shared" si="0"/>
        <v/>
      </c>
      <c r="AJ5" s="6" t="str">
        <f t="shared" si="0"/>
        <v/>
      </c>
      <c r="AK5" s="6" t="str">
        <f t="shared" si="0"/>
        <v/>
      </c>
      <c r="AL5" s="6" t="str">
        <f t="shared" si="0"/>
        <v/>
      </c>
      <c r="AM5" s="6" t="str">
        <f t="shared" si="0"/>
        <v/>
      </c>
      <c r="AN5" s="6" t="str">
        <f t="shared" si="0"/>
        <v/>
      </c>
      <c r="AO5" s="6" t="str">
        <f t="shared" si="0"/>
        <v/>
      </c>
      <c r="AP5" s="6" t="str">
        <f t="shared" si="0"/>
        <v/>
      </c>
      <c r="AQ5" s="6" t="str">
        <f t="shared" si="0"/>
        <v/>
      </c>
      <c r="AR5" s="6" t="str">
        <f t="shared" si="0"/>
        <v/>
      </c>
      <c r="AS5" s="6" t="str">
        <f t="shared" si="0"/>
        <v/>
      </c>
      <c r="AT5" s="6" t="str">
        <f t="shared" si="0"/>
        <v/>
      </c>
      <c r="AU5" s="6" t="str">
        <f t="shared" si="0"/>
        <v/>
      </c>
      <c r="AV5" s="6" t="str">
        <f t="shared" si="0"/>
        <v/>
      </c>
      <c r="AW5" s="6" t="str">
        <f t="shared" si="0"/>
        <v/>
      </c>
      <c r="AX5" s="6" t="str">
        <f t="shared" si="0"/>
        <v/>
      </c>
      <c r="AY5" s="6" t="str">
        <f t="shared" si="0"/>
        <v/>
      </c>
      <c r="AZ5" s="6" t="str">
        <f t="shared" si="0"/>
        <v/>
      </c>
      <c r="BA5" s="6" t="str">
        <f t="shared" si="0"/>
        <v/>
      </c>
      <c r="BB5" s="6" t="str">
        <f t="shared" si="0"/>
        <v/>
      </c>
      <c r="BC5" s="6" t="str">
        <f t="shared" si="0"/>
        <v/>
      </c>
      <c r="BD5" s="6" t="str">
        <f t="shared" si="0"/>
        <v/>
      </c>
      <c r="BE5" s="6" t="str">
        <f t="shared" si="0"/>
        <v/>
      </c>
      <c r="BF5" s="6" t="str">
        <f t="shared" si="0"/>
        <v/>
      </c>
      <c r="BG5" s="6" t="str">
        <f t="shared" si="0"/>
        <v/>
      </c>
      <c r="BH5" s="6" t="str">
        <f t="shared" si="0"/>
        <v/>
      </c>
      <c r="BI5" s="6" t="str">
        <f t="shared" si="0"/>
        <v/>
      </c>
      <c r="BJ5" s="6" t="str">
        <f t="shared" si="0"/>
        <v/>
      </c>
      <c r="BK5" s="6" t="str">
        <f t="shared" si="0"/>
        <v/>
      </c>
      <c r="BL5" s="6" t="str">
        <f t="shared" si="0"/>
        <v/>
      </c>
      <c r="BM5" s="6" t="str">
        <f t="shared" si="0"/>
        <v/>
      </c>
      <c r="BN5" s="6" t="str">
        <f t="shared" si="0"/>
        <v/>
      </c>
      <c r="BO5" s="6" t="str">
        <f t="shared" ref="BO5:EA5" si="1">IF(AND((COLUMN()-1)&gt;31*($A$3-1),MONTH(DATE($A$2+INT(($A$3+$A$1)/12),IF((INT((COLUMN()-1)/31.001)+$A$1)&gt;12,(INT((COLUMN()-1)/31.001)+$A$1-12),INT((COLUMN()-1)/31.001)+$A$1),ROUNDUP(MOD(COLUMN()-1,31.001),0)))=ROUNDUP(MOD($A$1+$A$3-1,12.01),0)),ROUNDUP(MOD(COLUMN()-1,31.001),0),"")</f>
        <v/>
      </c>
      <c r="BP5" s="6" t="str">
        <f t="shared" si="1"/>
        <v/>
      </c>
      <c r="BQ5" s="6" t="str">
        <f t="shared" si="1"/>
        <v/>
      </c>
      <c r="BR5" s="6" t="str">
        <f t="shared" si="1"/>
        <v/>
      </c>
      <c r="BS5" s="6" t="str">
        <f t="shared" si="1"/>
        <v/>
      </c>
      <c r="BT5" s="6" t="str">
        <f t="shared" si="1"/>
        <v/>
      </c>
      <c r="BU5" s="6" t="str">
        <f t="shared" si="1"/>
        <v/>
      </c>
      <c r="BV5" s="6" t="str">
        <f t="shared" si="1"/>
        <v/>
      </c>
      <c r="BW5" s="6" t="str">
        <f t="shared" si="1"/>
        <v/>
      </c>
      <c r="BX5" s="6" t="str">
        <f t="shared" si="1"/>
        <v/>
      </c>
      <c r="BY5" s="6" t="str">
        <f t="shared" si="1"/>
        <v/>
      </c>
      <c r="BZ5" s="6" t="str">
        <f t="shared" si="1"/>
        <v/>
      </c>
      <c r="CA5" s="6" t="str">
        <f t="shared" si="1"/>
        <v/>
      </c>
      <c r="CB5" s="6" t="str">
        <f t="shared" si="1"/>
        <v/>
      </c>
      <c r="CC5" s="6" t="str">
        <f t="shared" si="1"/>
        <v/>
      </c>
      <c r="CD5" s="6" t="str">
        <f t="shared" si="1"/>
        <v/>
      </c>
      <c r="CE5" s="6" t="str">
        <f t="shared" si="1"/>
        <v/>
      </c>
      <c r="CF5" s="6" t="str">
        <f t="shared" si="1"/>
        <v/>
      </c>
      <c r="CG5" s="6" t="str">
        <f t="shared" si="1"/>
        <v/>
      </c>
      <c r="CH5" s="6" t="str">
        <f t="shared" si="1"/>
        <v/>
      </c>
      <c r="CI5" s="6" t="str">
        <f t="shared" si="1"/>
        <v/>
      </c>
      <c r="CJ5" s="6" t="str">
        <f t="shared" si="1"/>
        <v/>
      </c>
      <c r="CK5" s="6" t="str">
        <f t="shared" si="1"/>
        <v/>
      </c>
      <c r="CL5" s="6" t="str">
        <f t="shared" si="1"/>
        <v/>
      </c>
      <c r="CM5" s="6" t="str">
        <f t="shared" si="1"/>
        <v/>
      </c>
      <c r="CN5" s="6" t="str">
        <f t="shared" si="1"/>
        <v/>
      </c>
      <c r="CO5" s="6" t="str">
        <f t="shared" si="1"/>
        <v/>
      </c>
      <c r="CP5" s="6" t="str">
        <f t="shared" si="1"/>
        <v/>
      </c>
      <c r="CQ5" s="6"/>
      <c r="CR5" s="6" t="str">
        <f t="shared" si="1"/>
        <v/>
      </c>
      <c r="CS5" s="6" t="str">
        <f t="shared" si="1"/>
        <v/>
      </c>
      <c r="CT5" s="6" t="str">
        <f t="shared" si="1"/>
        <v/>
      </c>
      <c r="CU5" s="6" t="str">
        <f t="shared" si="1"/>
        <v/>
      </c>
      <c r="CV5" s="6" t="str">
        <f t="shared" si="1"/>
        <v/>
      </c>
      <c r="CW5" s="6" t="str">
        <f t="shared" si="1"/>
        <v/>
      </c>
      <c r="CX5" s="6" t="str">
        <f t="shared" si="1"/>
        <v/>
      </c>
      <c r="CY5" s="6" t="str">
        <f t="shared" si="1"/>
        <v/>
      </c>
      <c r="CZ5" s="6" t="str">
        <f t="shared" si="1"/>
        <v/>
      </c>
      <c r="DA5" s="6" t="str">
        <f t="shared" si="1"/>
        <v/>
      </c>
      <c r="DB5" s="6" t="str">
        <f t="shared" si="1"/>
        <v/>
      </c>
      <c r="DC5" s="6" t="str">
        <f t="shared" si="1"/>
        <v/>
      </c>
      <c r="DD5" s="6" t="str">
        <f t="shared" si="1"/>
        <v/>
      </c>
      <c r="DE5" s="6" t="str">
        <f t="shared" si="1"/>
        <v/>
      </c>
      <c r="DF5" s="6" t="str">
        <f t="shared" si="1"/>
        <v/>
      </c>
      <c r="DG5" s="6" t="str">
        <f t="shared" si="1"/>
        <v/>
      </c>
      <c r="DH5" s="6" t="str">
        <f t="shared" si="1"/>
        <v/>
      </c>
      <c r="DI5" s="6" t="str">
        <f t="shared" si="1"/>
        <v/>
      </c>
      <c r="DJ5" s="6" t="str">
        <f t="shared" si="1"/>
        <v/>
      </c>
      <c r="DK5" s="6" t="str">
        <f t="shared" si="1"/>
        <v/>
      </c>
      <c r="DL5" s="6" t="str">
        <f t="shared" si="1"/>
        <v/>
      </c>
      <c r="DM5" s="6" t="str">
        <f t="shared" si="1"/>
        <v/>
      </c>
      <c r="DN5" s="6" t="str">
        <f t="shared" si="1"/>
        <v/>
      </c>
      <c r="DO5" s="6" t="str">
        <f t="shared" si="1"/>
        <v/>
      </c>
      <c r="DP5" s="6" t="str">
        <f t="shared" si="1"/>
        <v/>
      </c>
      <c r="DQ5" s="6" t="str">
        <f t="shared" si="1"/>
        <v/>
      </c>
      <c r="DR5" s="6" t="str">
        <f t="shared" si="1"/>
        <v/>
      </c>
      <c r="DS5" s="6" t="str">
        <f t="shared" si="1"/>
        <v/>
      </c>
      <c r="DT5" s="6" t="str">
        <f t="shared" si="1"/>
        <v/>
      </c>
      <c r="DU5" s="6" t="str">
        <f t="shared" si="1"/>
        <v/>
      </c>
      <c r="DV5" s="6" t="str">
        <f t="shared" si="1"/>
        <v/>
      </c>
      <c r="DW5" s="6" t="str">
        <f t="shared" si="1"/>
        <v/>
      </c>
      <c r="DX5" s="6" t="str">
        <f t="shared" si="1"/>
        <v/>
      </c>
      <c r="DY5" s="6" t="str">
        <f t="shared" si="1"/>
        <v/>
      </c>
      <c r="DZ5" s="6" t="str">
        <f t="shared" si="1"/>
        <v/>
      </c>
      <c r="EA5" s="6" t="str">
        <f t="shared" si="1"/>
        <v/>
      </c>
      <c r="EB5" s="6" t="str">
        <f t="shared" ref="EB5:GM5" si="2">IF(AND((COLUMN()-1)&gt;31*($A$3-1),MONTH(DATE($A$2+INT(($A$3+$A$1)/12),IF((INT((COLUMN()-1)/31.001)+$A$1)&gt;12,(INT((COLUMN()-1)/31.001)+$A$1-12),INT((COLUMN()-1)/31.001)+$A$1),ROUNDUP(MOD(COLUMN()-1,31.001),0)))=ROUNDUP(MOD($A$1+$A$3-1,12.01),0)),ROUNDUP(MOD(COLUMN()-1,31.001),0),"")</f>
        <v/>
      </c>
      <c r="EC5" s="6" t="str">
        <f t="shared" si="2"/>
        <v/>
      </c>
      <c r="ED5" s="6" t="str">
        <f t="shared" si="2"/>
        <v/>
      </c>
      <c r="EE5" s="6" t="str">
        <f t="shared" si="2"/>
        <v/>
      </c>
      <c r="EF5" s="6" t="str">
        <f t="shared" si="2"/>
        <v/>
      </c>
      <c r="EG5" s="6" t="str">
        <f t="shared" si="2"/>
        <v/>
      </c>
      <c r="EH5" s="6" t="str">
        <f t="shared" si="2"/>
        <v/>
      </c>
      <c r="EI5" s="6" t="str">
        <f t="shared" si="2"/>
        <v/>
      </c>
      <c r="EJ5" s="6" t="str">
        <f t="shared" si="2"/>
        <v/>
      </c>
      <c r="EK5" s="6" t="str">
        <f t="shared" si="2"/>
        <v/>
      </c>
      <c r="EL5" s="6" t="str">
        <f t="shared" si="2"/>
        <v/>
      </c>
      <c r="EM5" s="6" t="str">
        <f t="shared" si="2"/>
        <v/>
      </c>
      <c r="EN5" s="6" t="str">
        <f t="shared" si="2"/>
        <v/>
      </c>
      <c r="EO5" s="6" t="str">
        <f t="shared" si="2"/>
        <v/>
      </c>
      <c r="EP5" s="6" t="str">
        <f t="shared" si="2"/>
        <v/>
      </c>
      <c r="EQ5" s="6" t="str">
        <f t="shared" si="2"/>
        <v/>
      </c>
      <c r="ER5" s="6" t="str">
        <f t="shared" si="2"/>
        <v/>
      </c>
      <c r="ES5" s="6" t="str">
        <f t="shared" si="2"/>
        <v/>
      </c>
      <c r="ET5" s="6" t="str">
        <f t="shared" si="2"/>
        <v/>
      </c>
      <c r="EU5" s="6" t="str">
        <f t="shared" si="2"/>
        <v/>
      </c>
      <c r="EV5" s="6" t="str">
        <f t="shared" si="2"/>
        <v/>
      </c>
      <c r="EW5" s="6" t="str">
        <f t="shared" si="2"/>
        <v/>
      </c>
      <c r="EX5" s="6" t="str">
        <f t="shared" si="2"/>
        <v/>
      </c>
      <c r="EY5" s="6" t="str">
        <f t="shared" si="2"/>
        <v/>
      </c>
      <c r="EZ5" s="6" t="str">
        <f t="shared" si="2"/>
        <v/>
      </c>
      <c r="FA5" s="6" t="str">
        <f t="shared" si="2"/>
        <v/>
      </c>
      <c r="FB5" s="6" t="str">
        <f t="shared" si="2"/>
        <v/>
      </c>
      <c r="FC5" s="6" t="str">
        <f t="shared" si="2"/>
        <v/>
      </c>
      <c r="FD5" s="6" t="str">
        <f t="shared" si="2"/>
        <v/>
      </c>
      <c r="FE5" s="6" t="str">
        <f t="shared" si="2"/>
        <v/>
      </c>
      <c r="FF5" s="6" t="str">
        <f t="shared" si="2"/>
        <v/>
      </c>
      <c r="FG5" s="6" t="str">
        <f t="shared" si="2"/>
        <v/>
      </c>
      <c r="FH5" s="6" t="str">
        <f t="shared" si="2"/>
        <v/>
      </c>
      <c r="FI5" s="6" t="str">
        <f t="shared" si="2"/>
        <v/>
      </c>
      <c r="FJ5" s="6" t="str">
        <f t="shared" si="2"/>
        <v/>
      </c>
      <c r="FK5" s="6" t="str">
        <f t="shared" si="2"/>
        <v/>
      </c>
      <c r="FL5" s="6" t="str">
        <f t="shared" si="2"/>
        <v/>
      </c>
      <c r="FM5" s="6" t="str">
        <f t="shared" si="2"/>
        <v/>
      </c>
      <c r="FN5" s="6" t="str">
        <f t="shared" si="2"/>
        <v/>
      </c>
      <c r="FO5" s="6" t="str">
        <f t="shared" si="2"/>
        <v/>
      </c>
      <c r="FP5" s="6" t="str">
        <f t="shared" si="2"/>
        <v/>
      </c>
      <c r="FQ5" s="6" t="str">
        <f t="shared" si="2"/>
        <v/>
      </c>
      <c r="FR5" s="6" t="str">
        <f t="shared" si="2"/>
        <v/>
      </c>
      <c r="FS5" s="6" t="str">
        <f t="shared" si="2"/>
        <v/>
      </c>
      <c r="FT5" s="6" t="str">
        <f t="shared" si="2"/>
        <v/>
      </c>
      <c r="FU5" s="6" t="str">
        <f t="shared" si="2"/>
        <v/>
      </c>
      <c r="FV5" s="6" t="str">
        <f t="shared" si="2"/>
        <v/>
      </c>
      <c r="FW5" s="6" t="str">
        <f t="shared" si="2"/>
        <v/>
      </c>
      <c r="FX5" s="6" t="str">
        <f t="shared" si="2"/>
        <v/>
      </c>
      <c r="FY5" s="6" t="str">
        <f t="shared" si="2"/>
        <v/>
      </c>
      <c r="FZ5" s="6" t="str">
        <f t="shared" si="2"/>
        <v/>
      </c>
      <c r="GA5" s="6" t="str">
        <f t="shared" si="2"/>
        <v/>
      </c>
      <c r="GB5" s="6" t="str">
        <f t="shared" si="2"/>
        <v/>
      </c>
      <c r="GC5" s="6" t="str">
        <f t="shared" si="2"/>
        <v/>
      </c>
      <c r="GD5" s="6" t="str">
        <f t="shared" si="2"/>
        <v/>
      </c>
      <c r="GE5" s="6" t="str">
        <f t="shared" si="2"/>
        <v/>
      </c>
      <c r="GF5" s="6" t="str">
        <f t="shared" si="2"/>
        <v/>
      </c>
      <c r="GG5" s="6" t="str">
        <f t="shared" si="2"/>
        <v/>
      </c>
      <c r="GH5" s="6" t="str">
        <f t="shared" si="2"/>
        <v/>
      </c>
      <c r="GI5" s="6" t="str">
        <f t="shared" si="2"/>
        <v/>
      </c>
      <c r="GJ5" s="6" t="str">
        <f t="shared" si="2"/>
        <v/>
      </c>
      <c r="GK5" s="6" t="str">
        <f t="shared" si="2"/>
        <v/>
      </c>
      <c r="GL5" s="6" t="str">
        <f t="shared" si="2"/>
        <v/>
      </c>
      <c r="GM5" s="6" t="str">
        <f t="shared" si="2"/>
        <v/>
      </c>
      <c r="GN5" s="6" t="str">
        <f t="shared" ref="GN5:IY5" si="3">IF(AND((COLUMN()-1)&gt;31*($A$3-1),MONTH(DATE($A$2+INT(($A$3+$A$1)/12),IF((INT((COLUMN()-1)/31.001)+$A$1)&gt;12,(INT((COLUMN()-1)/31.001)+$A$1-12),INT((COLUMN()-1)/31.001)+$A$1),ROUNDUP(MOD(COLUMN()-1,31.001),0)))=ROUNDUP(MOD($A$1+$A$3-1,12.01),0)),ROUNDUP(MOD(COLUMN()-1,31.001),0),"")</f>
        <v/>
      </c>
      <c r="GO5" s="6" t="str">
        <f t="shared" si="3"/>
        <v/>
      </c>
      <c r="GP5" s="6" t="str">
        <f t="shared" si="3"/>
        <v/>
      </c>
      <c r="GQ5" s="6" t="str">
        <f t="shared" si="3"/>
        <v/>
      </c>
      <c r="GR5" s="6" t="str">
        <f t="shared" si="3"/>
        <v/>
      </c>
      <c r="GS5" s="6" t="str">
        <f t="shared" si="3"/>
        <v/>
      </c>
      <c r="GT5" s="6" t="str">
        <f t="shared" si="3"/>
        <v/>
      </c>
      <c r="GU5" s="6" t="str">
        <f t="shared" si="3"/>
        <v/>
      </c>
      <c r="GV5" s="6" t="str">
        <f t="shared" si="3"/>
        <v/>
      </c>
      <c r="GW5" s="6" t="str">
        <f t="shared" si="3"/>
        <v/>
      </c>
      <c r="GX5" s="6" t="str">
        <f t="shared" si="3"/>
        <v/>
      </c>
      <c r="GY5" s="6" t="str">
        <f t="shared" si="3"/>
        <v/>
      </c>
      <c r="GZ5" s="6" t="str">
        <f t="shared" si="3"/>
        <v/>
      </c>
      <c r="HA5" s="6" t="str">
        <f t="shared" si="3"/>
        <v/>
      </c>
      <c r="HB5" s="6" t="str">
        <f t="shared" si="3"/>
        <v/>
      </c>
      <c r="HC5" s="6" t="str">
        <f t="shared" si="3"/>
        <v/>
      </c>
      <c r="HD5" s="6" t="str">
        <f t="shared" si="3"/>
        <v/>
      </c>
      <c r="HE5" s="6" t="str">
        <f t="shared" si="3"/>
        <v/>
      </c>
      <c r="HF5" s="6" t="str">
        <f t="shared" si="3"/>
        <v/>
      </c>
      <c r="HG5" s="6" t="str">
        <f t="shared" si="3"/>
        <v/>
      </c>
      <c r="HH5" s="6" t="str">
        <f t="shared" si="3"/>
        <v/>
      </c>
      <c r="HI5" s="6" t="str">
        <f t="shared" si="3"/>
        <v/>
      </c>
      <c r="HJ5" s="6" t="str">
        <f t="shared" si="3"/>
        <v/>
      </c>
      <c r="HK5" s="6" t="str">
        <f t="shared" si="3"/>
        <v/>
      </c>
      <c r="HL5" s="6" t="str">
        <f t="shared" si="3"/>
        <v/>
      </c>
      <c r="HM5" s="6" t="str">
        <f t="shared" si="3"/>
        <v/>
      </c>
      <c r="HN5" s="6" t="str">
        <f t="shared" si="3"/>
        <v/>
      </c>
      <c r="HO5" s="6" t="str">
        <f t="shared" si="3"/>
        <v/>
      </c>
      <c r="HP5" s="6" t="str">
        <f t="shared" si="3"/>
        <v/>
      </c>
      <c r="HQ5" s="6" t="str">
        <f t="shared" si="3"/>
        <v/>
      </c>
      <c r="HR5" s="6" t="str">
        <f t="shared" si="3"/>
        <v/>
      </c>
      <c r="HS5" s="6" t="str">
        <f t="shared" si="3"/>
        <v/>
      </c>
      <c r="HT5" s="6" t="str">
        <f t="shared" si="3"/>
        <v/>
      </c>
      <c r="HU5" s="6" t="str">
        <f t="shared" si="3"/>
        <v/>
      </c>
      <c r="HV5" s="6" t="str">
        <f t="shared" si="3"/>
        <v/>
      </c>
      <c r="HW5" s="6" t="str">
        <f t="shared" si="3"/>
        <v/>
      </c>
      <c r="HX5" s="6" t="str">
        <f t="shared" si="3"/>
        <v/>
      </c>
      <c r="HY5" s="6" t="str">
        <f t="shared" si="3"/>
        <v/>
      </c>
      <c r="HZ5" s="6" t="str">
        <f t="shared" si="3"/>
        <v/>
      </c>
      <c r="IA5" s="6" t="str">
        <f t="shared" si="3"/>
        <v/>
      </c>
      <c r="IB5" s="6" t="str">
        <f t="shared" si="3"/>
        <v/>
      </c>
      <c r="IC5" s="6" t="str">
        <f t="shared" si="3"/>
        <v/>
      </c>
      <c r="ID5" s="6" t="str">
        <f t="shared" si="3"/>
        <v/>
      </c>
      <c r="IE5" s="6" t="str">
        <f t="shared" si="3"/>
        <v/>
      </c>
      <c r="IF5" s="6" t="str">
        <f t="shared" si="3"/>
        <v/>
      </c>
      <c r="IG5" s="6" t="str">
        <f t="shared" si="3"/>
        <v/>
      </c>
      <c r="IH5" s="6" t="str">
        <f t="shared" si="3"/>
        <v/>
      </c>
      <c r="II5" s="6" t="str">
        <f t="shared" si="3"/>
        <v/>
      </c>
      <c r="IJ5" s="6" t="str">
        <f t="shared" si="3"/>
        <v/>
      </c>
      <c r="IK5" s="6" t="str">
        <f t="shared" si="3"/>
        <v/>
      </c>
      <c r="IL5" s="6" t="str">
        <f t="shared" si="3"/>
        <v/>
      </c>
      <c r="IM5" s="6" t="str">
        <f t="shared" si="3"/>
        <v/>
      </c>
      <c r="IN5" s="6" t="str">
        <f t="shared" si="3"/>
        <v/>
      </c>
      <c r="IO5" s="6" t="str">
        <f t="shared" si="3"/>
        <v/>
      </c>
      <c r="IP5" s="6" t="str">
        <f t="shared" si="3"/>
        <v/>
      </c>
      <c r="IQ5" s="6" t="str">
        <f t="shared" si="3"/>
        <v/>
      </c>
      <c r="IR5" s="6" t="str">
        <f t="shared" si="3"/>
        <v/>
      </c>
      <c r="IS5" s="6" t="str">
        <f t="shared" si="3"/>
        <v/>
      </c>
      <c r="IT5" s="6" t="str">
        <f t="shared" si="3"/>
        <v/>
      </c>
      <c r="IU5" s="6" t="str">
        <f t="shared" si="3"/>
        <v/>
      </c>
      <c r="IV5" s="6" t="str">
        <f t="shared" si="3"/>
        <v/>
      </c>
      <c r="IW5" s="6" t="str">
        <f t="shared" si="3"/>
        <v/>
      </c>
      <c r="IX5" s="6" t="str">
        <f t="shared" si="3"/>
        <v/>
      </c>
      <c r="IY5" s="6" t="str">
        <f t="shared" si="3"/>
        <v/>
      </c>
      <c r="IZ5" s="6" t="str">
        <f t="shared" ref="IZ5:LK5" si="4">IF(AND((COLUMN()-1)&gt;31*($A$3-1),MONTH(DATE($A$2+INT(($A$3+$A$1)/12),IF((INT((COLUMN()-1)/31.001)+$A$1)&gt;12,(INT((COLUMN()-1)/31.001)+$A$1-12),INT((COLUMN()-1)/31.001)+$A$1),ROUNDUP(MOD(COLUMN()-1,31.001),0)))=ROUNDUP(MOD($A$1+$A$3-1,12.01),0)),ROUNDUP(MOD(COLUMN()-1,31.001),0),"")</f>
        <v/>
      </c>
      <c r="JA5" s="6" t="str">
        <f t="shared" si="4"/>
        <v/>
      </c>
      <c r="JB5" s="6" t="str">
        <f t="shared" si="4"/>
        <v/>
      </c>
      <c r="JC5" s="6" t="str">
        <f t="shared" si="4"/>
        <v/>
      </c>
      <c r="JD5" s="6" t="str">
        <f t="shared" si="4"/>
        <v/>
      </c>
      <c r="JE5" s="6" t="str">
        <f t="shared" si="4"/>
        <v/>
      </c>
      <c r="JF5" s="6" t="str">
        <f t="shared" si="4"/>
        <v/>
      </c>
      <c r="JG5" s="6" t="str">
        <f t="shared" si="4"/>
        <v/>
      </c>
      <c r="JH5" s="6" t="str">
        <f t="shared" si="4"/>
        <v/>
      </c>
      <c r="JI5" s="6" t="str">
        <f t="shared" si="4"/>
        <v/>
      </c>
      <c r="JJ5" s="6" t="str">
        <f t="shared" si="4"/>
        <v/>
      </c>
      <c r="JK5" s="6" t="str">
        <f t="shared" si="4"/>
        <v/>
      </c>
      <c r="JL5" s="6" t="str">
        <f t="shared" si="4"/>
        <v/>
      </c>
      <c r="JM5" s="6" t="str">
        <f t="shared" si="4"/>
        <v/>
      </c>
      <c r="JN5" s="6" t="str">
        <f t="shared" si="4"/>
        <v/>
      </c>
      <c r="JO5" s="6" t="str">
        <f t="shared" si="4"/>
        <v/>
      </c>
      <c r="JP5" s="6" t="str">
        <f t="shared" si="4"/>
        <v/>
      </c>
      <c r="JQ5" s="6" t="str">
        <f t="shared" si="4"/>
        <v/>
      </c>
      <c r="JR5" s="6" t="str">
        <f t="shared" si="4"/>
        <v/>
      </c>
      <c r="JS5" s="6" t="str">
        <f t="shared" si="4"/>
        <v/>
      </c>
      <c r="JT5" s="6" t="str">
        <f t="shared" si="4"/>
        <v/>
      </c>
      <c r="JU5" s="6" t="str">
        <f t="shared" si="4"/>
        <v/>
      </c>
      <c r="JV5" s="6" t="str">
        <f t="shared" si="4"/>
        <v/>
      </c>
      <c r="JW5" s="6" t="str">
        <f t="shared" si="4"/>
        <v/>
      </c>
      <c r="JX5" s="6" t="str">
        <f t="shared" si="4"/>
        <v/>
      </c>
      <c r="JY5" s="6" t="str">
        <f t="shared" si="4"/>
        <v/>
      </c>
      <c r="JZ5" s="6" t="str">
        <f t="shared" si="4"/>
        <v/>
      </c>
      <c r="KA5" s="6" t="str">
        <f t="shared" si="4"/>
        <v/>
      </c>
      <c r="KB5" s="6" t="str">
        <f t="shared" si="4"/>
        <v/>
      </c>
      <c r="KC5" s="6" t="str">
        <f t="shared" si="4"/>
        <v/>
      </c>
      <c r="KD5" s="6" t="str">
        <f t="shared" si="4"/>
        <v/>
      </c>
      <c r="KE5" s="6" t="str">
        <f t="shared" si="4"/>
        <v/>
      </c>
      <c r="KF5" s="6" t="str">
        <f t="shared" si="4"/>
        <v/>
      </c>
      <c r="KG5" s="6" t="str">
        <f t="shared" si="4"/>
        <v/>
      </c>
      <c r="KH5" s="6" t="str">
        <f t="shared" si="4"/>
        <v/>
      </c>
      <c r="KI5" s="6" t="str">
        <f t="shared" si="4"/>
        <v/>
      </c>
      <c r="KJ5" s="6" t="str">
        <f t="shared" si="4"/>
        <v/>
      </c>
      <c r="KK5" s="6" t="str">
        <f t="shared" si="4"/>
        <v/>
      </c>
      <c r="KL5" s="6" t="str">
        <f t="shared" si="4"/>
        <v/>
      </c>
      <c r="KM5" s="6" t="str">
        <f t="shared" si="4"/>
        <v/>
      </c>
      <c r="KN5" s="6" t="str">
        <f t="shared" si="4"/>
        <v/>
      </c>
      <c r="KO5" s="6" t="str">
        <f t="shared" si="4"/>
        <v/>
      </c>
      <c r="KP5" s="6" t="str">
        <f t="shared" si="4"/>
        <v/>
      </c>
      <c r="KQ5" s="6" t="str">
        <f t="shared" si="4"/>
        <v/>
      </c>
      <c r="KR5" s="6" t="str">
        <f t="shared" si="4"/>
        <v/>
      </c>
      <c r="KS5" s="6" t="str">
        <f t="shared" si="4"/>
        <v/>
      </c>
      <c r="KT5" s="6" t="str">
        <f t="shared" si="4"/>
        <v/>
      </c>
      <c r="KU5" s="6" t="str">
        <f t="shared" si="4"/>
        <v/>
      </c>
      <c r="KV5" s="6" t="str">
        <f t="shared" si="4"/>
        <v/>
      </c>
      <c r="KW5" s="6" t="str">
        <f t="shared" si="4"/>
        <v/>
      </c>
      <c r="KX5" s="6" t="str">
        <f t="shared" si="4"/>
        <v/>
      </c>
      <c r="KY5" s="6" t="str">
        <f t="shared" si="4"/>
        <v/>
      </c>
      <c r="KZ5" s="6" t="str">
        <f t="shared" si="4"/>
        <v/>
      </c>
      <c r="LA5" s="6" t="str">
        <f t="shared" si="4"/>
        <v/>
      </c>
      <c r="LB5" s="6" t="str">
        <f t="shared" si="4"/>
        <v/>
      </c>
      <c r="LC5" s="6" t="str">
        <f t="shared" si="4"/>
        <v/>
      </c>
      <c r="LD5" s="6" t="str">
        <f t="shared" si="4"/>
        <v/>
      </c>
      <c r="LE5" s="6" t="str">
        <f t="shared" si="4"/>
        <v/>
      </c>
      <c r="LF5" s="6" t="str">
        <f t="shared" si="4"/>
        <v/>
      </c>
      <c r="LG5" s="6" t="str">
        <f t="shared" si="4"/>
        <v/>
      </c>
      <c r="LH5" s="6" t="str">
        <f t="shared" si="4"/>
        <v/>
      </c>
      <c r="LI5" s="6" t="str">
        <f t="shared" si="4"/>
        <v/>
      </c>
      <c r="LJ5" s="6" t="str">
        <f t="shared" si="4"/>
        <v/>
      </c>
      <c r="LK5" s="6" t="str">
        <f t="shared" si="4"/>
        <v/>
      </c>
      <c r="LL5" s="6" t="str">
        <f t="shared" ref="LL5:NJ5" si="5">IF(AND((COLUMN()-1)&gt;31*($A$3-1),MONTH(DATE($A$2+INT(($A$3+$A$1)/12),IF((INT((COLUMN()-1)/31.001)+$A$1)&gt;12,(INT((COLUMN()-1)/31.001)+$A$1-12),INT((COLUMN()-1)/31.001)+$A$1),ROUNDUP(MOD(COLUMN()-1,31.001),0)))=ROUNDUP(MOD($A$1+$A$3-1,12.01),0)),ROUNDUP(MOD(COLUMN()-1,31.001),0),"")</f>
        <v/>
      </c>
      <c r="LM5" s="6" t="str">
        <f t="shared" si="5"/>
        <v/>
      </c>
      <c r="LN5" s="6" t="str">
        <f t="shared" si="5"/>
        <v/>
      </c>
      <c r="LO5" s="6" t="str">
        <f t="shared" si="5"/>
        <v/>
      </c>
      <c r="LP5" s="6" t="str">
        <f t="shared" si="5"/>
        <v/>
      </c>
      <c r="LQ5" s="6" t="str">
        <f t="shared" si="5"/>
        <v/>
      </c>
      <c r="LR5" s="6" t="str">
        <f t="shared" si="5"/>
        <v/>
      </c>
      <c r="LS5" s="6" t="str">
        <f t="shared" si="5"/>
        <v/>
      </c>
      <c r="LT5" s="6" t="str">
        <f t="shared" si="5"/>
        <v/>
      </c>
      <c r="LU5" s="6" t="str">
        <f t="shared" si="5"/>
        <v/>
      </c>
      <c r="LV5" s="6" t="str">
        <f t="shared" si="5"/>
        <v/>
      </c>
      <c r="LW5" s="6" t="str">
        <f t="shared" si="5"/>
        <v/>
      </c>
      <c r="LX5" s="6" t="str">
        <f t="shared" si="5"/>
        <v/>
      </c>
      <c r="LY5" s="6" t="str">
        <f t="shared" si="5"/>
        <v/>
      </c>
      <c r="LZ5" s="6" t="str">
        <f t="shared" si="5"/>
        <v/>
      </c>
      <c r="MA5" s="6" t="str">
        <f t="shared" si="5"/>
        <v/>
      </c>
      <c r="MB5" s="6" t="str">
        <f t="shared" si="5"/>
        <v/>
      </c>
      <c r="MC5" s="6" t="str">
        <f t="shared" si="5"/>
        <v/>
      </c>
      <c r="MD5" s="6" t="str">
        <f t="shared" si="5"/>
        <v/>
      </c>
      <c r="ME5" s="6">
        <f t="shared" si="5"/>
        <v>1</v>
      </c>
      <c r="MF5" s="6">
        <f t="shared" si="5"/>
        <v>2</v>
      </c>
      <c r="MG5" s="6">
        <f t="shared" si="5"/>
        <v>3</v>
      </c>
      <c r="MH5" s="6">
        <f t="shared" si="5"/>
        <v>4</v>
      </c>
      <c r="MI5" s="6">
        <f t="shared" si="5"/>
        <v>5</v>
      </c>
      <c r="MJ5" s="6">
        <f t="shared" si="5"/>
        <v>6</v>
      </c>
      <c r="MK5" s="6">
        <f t="shared" si="5"/>
        <v>7</v>
      </c>
      <c r="ML5" s="6">
        <f t="shared" si="5"/>
        <v>8</v>
      </c>
      <c r="MM5" s="6">
        <f t="shared" si="5"/>
        <v>9</v>
      </c>
      <c r="MN5" s="6">
        <f t="shared" si="5"/>
        <v>10</v>
      </c>
      <c r="MO5" s="6">
        <f t="shared" si="5"/>
        <v>11</v>
      </c>
      <c r="MP5" s="6">
        <f t="shared" si="5"/>
        <v>12</v>
      </c>
      <c r="MQ5" s="6">
        <f t="shared" si="5"/>
        <v>13</v>
      </c>
      <c r="MR5" s="6">
        <f t="shared" si="5"/>
        <v>14</v>
      </c>
      <c r="MS5" s="6">
        <f t="shared" si="5"/>
        <v>15</v>
      </c>
      <c r="MT5" s="6">
        <f t="shared" si="5"/>
        <v>16</v>
      </c>
      <c r="MU5" s="6">
        <f t="shared" si="5"/>
        <v>17</v>
      </c>
      <c r="MV5" s="6">
        <f t="shared" si="5"/>
        <v>18</v>
      </c>
      <c r="MW5" s="6">
        <f t="shared" si="5"/>
        <v>19</v>
      </c>
      <c r="MX5" s="6">
        <f t="shared" si="5"/>
        <v>20</v>
      </c>
      <c r="MY5" s="6">
        <f t="shared" si="5"/>
        <v>21</v>
      </c>
      <c r="MZ5" s="6">
        <f t="shared" si="5"/>
        <v>22</v>
      </c>
      <c r="NA5" s="6">
        <f t="shared" si="5"/>
        <v>23</v>
      </c>
      <c r="NB5" s="6">
        <f t="shared" si="5"/>
        <v>24</v>
      </c>
      <c r="NC5" s="6">
        <f t="shared" si="5"/>
        <v>25</v>
      </c>
      <c r="ND5" s="6">
        <f t="shared" si="5"/>
        <v>26</v>
      </c>
      <c r="NE5" s="6">
        <f t="shared" si="5"/>
        <v>27</v>
      </c>
      <c r="NF5" s="6">
        <f t="shared" si="5"/>
        <v>28</v>
      </c>
      <c r="NG5" s="6">
        <f t="shared" si="5"/>
        <v>29</v>
      </c>
      <c r="NH5" s="6">
        <f t="shared" si="5"/>
        <v>30</v>
      </c>
      <c r="NI5" s="6">
        <f t="shared" si="5"/>
        <v>31</v>
      </c>
      <c r="NJ5" s="6" t="str">
        <f t="shared" si="5"/>
        <v/>
      </c>
      <c r="NK5" s="36" t="s">
        <v>195</v>
      </c>
      <c r="NL5" s="34" t="s">
        <v>190</v>
      </c>
      <c r="NM5" s="34" t="s">
        <v>49</v>
      </c>
      <c r="NN5" s="34" t="s">
        <v>194</v>
      </c>
      <c r="NO5" s="34" t="s">
        <v>37</v>
      </c>
      <c r="NP5" s="33" t="s">
        <v>26</v>
      </c>
      <c r="NQ5" s="33" t="s">
        <v>40</v>
      </c>
      <c r="NR5" s="33" t="s">
        <v>41</v>
      </c>
      <c r="NS5" s="33" t="s">
        <v>51</v>
      </c>
      <c r="NT5" s="33" t="s">
        <v>35</v>
      </c>
      <c r="NU5" s="33" t="s">
        <v>36</v>
      </c>
    </row>
    <row r="6" spans="1:761" x14ac:dyDescent="0.25">
      <c r="A6" s="3" t="s">
        <v>29</v>
      </c>
      <c r="B6" s="8" t="str">
        <f>IF(B$5="","",VLOOKUP(WEEKDAY(DATE($A$2,$A$3+$A$1-1,B5),2),Sheet3!$D$1:$E$7,2,0))</f>
        <v/>
      </c>
      <c r="C6" s="8" t="str">
        <f>IF(C$5="","",VLOOKUP(WEEKDAY(DATE($A$2,$A$3+$A$1-1,C5),2),Sheet3!$D$1:$E$7,2,0))</f>
        <v/>
      </c>
      <c r="D6" s="8" t="str">
        <f>IF(D$5="","",VLOOKUP(WEEKDAY(DATE($A$2,$A$3+$A$1-1,D5),2),Sheet3!$D$1:$E$7,2,0))</f>
        <v/>
      </c>
      <c r="E6" s="8" t="str">
        <f>IF(E$5="","",VLOOKUP(WEEKDAY(DATE($A$2,$A$3+$A$1-1,E5),2),Sheet3!$D$1:$E$7,2,0))</f>
        <v/>
      </c>
      <c r="F6" s="8" t="str">
        <f>IF(F$5="","",VLOOKUP(WEEKDAY(DATE($A$2,$A$3+$A$1-1,F5),2),Sheet3!$D$1:$E$7,2,0))</f>
        <v/>
      </c>
      <c r="G6" s="8" t="str">
        <f>IF(G$5="","",VLOOKUP(WEEKDAY(DATE($A$2,$A$3+$A$1-1,G5),2),Sheet3!$D$1:$E$7,2,0))</f>
        <v/>
      </c>
      <c r="H6" s="8" t="str">
        <f>IF(H$5="","",VLOOKUP(WEEKDAY(DATE($A$2,$A$3+$A$1-1,H5),2),Sheet3!$D$1:$E$7,2,0))</f>
        <v/>
      </c>
      <c r="I6" s="8" t="str">
        <f>IF(I$5="","",VLOOKUP(WEEKDAY(DATE($A$2,$A$3+$A$1-1,I5),2),Sheet3!$D$1:$E$7,2,0))</f>
        <v/>
      </c>
      <c r="J6" s="8" t="str">
        <f>IF(J$5="","",VLOOKUP(WEEKDAY(DATE($A$2,$A$3+$A$1-1,J5),2),Sheet3!$D$1:$E$7,2,0))</f>
        <v/>
      </c>
      <c r="K6" s="8" t="str">
        <f>IF(K$5="","",VLOOKUP(WEEKDAY(DATE($A$2,$A$3+$A$1-1,K5),2),Sheet3!$D$1:$E$7,2,0))</f>
        <v/>
      </c>
      <c r="L6" s="8" t="str">
        <f>IF(L$5="","",VLOOKUP(WEEKDAY(DATE($A$2,$A$3+$A$1-1,L5),2),Sheet3!$D$1:$E$7,2,0))</f>
        <v/>
      </c>
      <c r="M6" s="8" t="str">
        <f>IF(M$5="","",VLOOKUP(WEEKDAY(DATE($A$2,$A$3+$A$1-1,M5),2),Sheet3!$D$1:$E$7,2,0))</f>
        <v/>
      </c>
      <c r="N6" s="8" t="str">
        <f>IF(N$5="","",VLOOKUP(WEEKDAY(DATE($A$2,$A$3+$A$1-1,N5),2),Sheet3!$D$1:$E$7,2,0))</f>
        <v/>
      </c>
      <c r="O6" s="8" t="str">
        <f>IF(O$5="","",VLOOKUP(WEEKDAY(DATE($A$2,$A$3+$A$1-1,O5),2),Sheet3!$D$1:$E$7,2,0))</f>
        <v/>
      </c>
      <c r="P6" s="8" t="str">
        <f>IF(P$5="","",VLOOKUP(WEEKDAY(DATE($A$2,$A$3+$A$1-1,P5),2),Sheet3!$D$1:$E$7,2,0))</f>
        <v/>
      </c>
      <c r="Q6" s="8" t="str">
        <f>IF(Q$5="","",VLOOKUP(WEEKDAY(DATE($A$2,$A$3+$A$1-1,Q5),2),Sheet3!$D$1:$E$7,2,0))</f>
        <v/>
      </c>
      <c r="R6" s="8" t="str">
        <f>IF(R$5="","",VLOOKUP(WEEKDAY(DATE($A$2,$A$3+$A$1-1,R5),2),Sheet3!$D$1:$E$7,2,0))</f>
        <v/>
      </c>
      <c r="S6" s="8" t="str">
        <f>IF(S$5="","",VLOOKUP(WEEKDAY(DATE($A$2,$A$3+$A$1-1,S5),2),Sheet3!$D$1:$E$7,2,0))</f>
        <v/>
      </c>
      <c r="T6" s="8" t="str">
        <f>IF(T$5="","",VLOOKUP(WEEKDAY(DATE($A$2,$A$3+$A$1-1,T5),2),Sheet3!$D$1:$E$7,2,0))</f>
        <v/>
      </c>
      <c r="U6" s="8" t="str">
        <f>IF(U$5="","",VLOOKUP(WEEKDAY(DATE($A$2,$A$3+$A$1-1,U5),2),Sheet3!$D$1:$E$7,2,0))</f>
        <v/>
      </c>
      <c r="V6" s="8" t="str">
        <f>IF(V$5="","",VLOOKUP(WEEKDAY(DATE($A$2,$A$3+$A$1-1,V5),2),Sheet3!$D$1:$E$7,2,0))</f>
        <v/>
      </c>
      <c r="W6" s="8" t="str">
        <f>IF(W$5="","",VLOOKUP(WEEKDAY(DATE($A$2,$A$3+$A$1-1,W5),2),Sheet3!$D$1:$E$7,2,0))</f>
        <v/>
      </c>
      <c r="X6" s="8" t="str">
        <f>IF(X$5="","",VLOOKUP(WEEKDAY(DATE($A$2,$A$3+$A$1-1,X5),2),Sheet3!$D$1:$E$7,2,0))</f>
        <v/>
      </c>
      <c r="Y6" s="8" t="str">
        <f>IF(Y$5="","",VLOOKUP(WEEKDAY(DATE($A$2,$A$3+$A$1-1,Y5),2),Sheet3!$D$1:$E$7,2,0))</f>
        <v/>
      </c>
      <c r="Z6" s="8" t="str">
        <f>IF(Z$5="","",VLOOKUP(WEEKDAY(DATE($A$2,$A$3+$A$1-1,Z5),2),Sheet3!$D$1:$E$7,2,0))</f>
        <v/>
      </c>
      <c r="AA6" s="8" t="str">
        <f>IF(AA$5="","",VLOOKUP(WEEKDAY(DATE($A$2,$A$3+$A$1-1,AA5),2),Sheet3!$D$1:$E$7,2,0))</f>
        <v/>
      </c>
      <c r="AB6" s="8" t="str">
        <f>IF(AB$5="","",VLOOKUP(WEEKDAY(DATE($A$2,$A$3+$A$1-1,AB5),2),Sheet3!$D$1:$E$7,2,0))</f>
        <v/>
      </c>
      <c r="AC6" s="8" t="str">
        <f>IF(AC$5="","",VLOOKUP(WEEKDAY(DATE($A$2,$A$3+$A$1-1,AC5),2),Sheet3!$D$1:$E$7,2,0))</f>
        <v/>
      </c>
      <c r="AD6" s="8" t="str">
        <f>IF(AD$5="","",VLOOKUP(WEEKDAY(DATE($A$2,$A$3+$A$1-1,AD5),2),Sheet3!$D$1:$E$7,2,0))</f>
        <v/>
      </c>
      <c r="AE6" s="8" t="str">
        <f>IF(AE$5="","",VLOOKUP(WEEKDAY(DATE($A$2,$A$3+$A$1-1,AE5),2),Sheet3!$D$1:$E$7,2,0))</f>
        <v/>
      </c>
      <c r="AF6" s="8" t="str">
        <f>IF(AF$5="","",VLOOKUP(WEEKDAY(DATE($A$2,$A$3+$A$1-1,AF5),2),Sheet3!$D$1:$E$7,2,0))</f>
        <v/>
      </c>
      <c r="AG6" s="8" t="str">
        <f>IF(AG$5="","",VLOOKUP(WEEKDAY(DATE($A$2,$A$3+$A$1-1,AG5),2),Sheet3!$D$1:$E$7,2,0))</f>
        <v/>
      </c>
      <c r="AH6" s="8" t="str">
        <f>IF(AH$5="","",VLOOKUP(WEEKDAY(DATE($A$2,$A$3+$A$1-1,AH5),2),Sheet3!$D$1:$E$7,2,0))</f>
        <v/>
      </c>
      <c r="AI6" s="8" t="str">
        <f>IF(AI$5="","",VLOOKUP(WEEKDAY(DATE($A$2,$A$3+$A$1-1,AI5),2),Sheet3!$D$1:$E$7,2,0))</f>
        <v/>
      </c>
      <c r="AJ6" s="8" t="str">
        <f>IF(AJ$5="","",VLOOKUP(WEEKDAY(DATE($A$2,$A$3+$A$1-1,AJ5),2),Sheet3!$D$1:$E$7,2,0))</f>
        <v/>
      </c>
      <c r="AK6" s="8" t="str">
        <f>IF(AK$5="","",VLOOKUP(WEEKDAY(DATE($A$2,$A$3+$A$1-1,AK5),2),Sheet3!$D$1:$E$7,2,0))</f>
        <v/>
      </c>
      <c r="AL6" s="8" t="str">
        <f>IF(AL$5="","",VLOOKUP(WEEKDAY(DATE($A$2,$A$3+$A$1-1,AL5),2),Sheet3!$D$1:$E$7,2,0))</f>
        <v/>
      </c>
      <c r="AM6" s="8" t="str">
        <f>IF(AM$5="","",VLOOKUP(WEEKDAY(DATE($A$2,$A$3+$A$1-1,AM5),2),Sheet3!$D$1:$E$7,2,0))</f>
        <v/>
      </c>
      <c r="AN6" s="8" t="str">
        <f>IF(AN$5="","",VLOOKUP(WEEKDAY(DATE($A$2,$A$3+$A$1-1,AN5),2),Sheet3!$D$1:$E$7,2,0))</f>
        <v/>
      </c>
      <c r="AO6" s="8" t="str">
        <f>IF(AO$5="","",VLOOKUP(WEEKDAY(DATE($A$2,$A$3+$A$1-1,AO5),2),Sheet3!$D$1:$E$7,2,0))</f>
        <v/>
      </c>
      <c r="AP6" s="8" t="str">
        <f>IF(AP$5="","",VLOOKUP(WEEKDAY(DATE($A$2,$A$3+$A$1-1,AP5),2),Sheet3!$D$1:$E$7,2,0))</f>
        <v/>
      </c>
      <c r="AQ6" s="8" t="str">
        <f>IF(AQ$5="","",VLOOKUP(WEEKDAY(DATE($A$2,$A$3+$A$1-1,AQ5),2),Sheet3!$D$1:$E$7,2,0))</f>
        <v/>
      </c>
      <c r="AR6" s="8" t="str">
        <f>IF(AR$5="","",VLOOKUP(WEEKDAY(DATE($A$2,$A$3+$A$1-1,AR5),2),Sheet3!$D$1:$E$7,2,0))</f>
        <v/>
      </c>
      <c r="AS6" s="8" t="str">
        <f>IF(AS$5="","",VLOOKUP(WEEKDAY(DATE($A$2,$A$3+$A$1-1,AS5),2),Sheet3!$D$1:$E$7,2,0))</f>
        <v/>
      </c>
      <c r="AT6" s="8" t="str">
        <f>IF(AT$5="","",VLOOKUP(WEEKDAY(DATE($A$2,$A$3+$A$1-1,AT5),2),Sheet3!$D$1:$E$7,2,0))</f>
        <v/>
      </c>
      <c r="AU6" s="8" t="str">
        <f>IF(AU$5="","",VLOOKUP(WEEKDAY(DATE($A$2,$A$3+$A$1-1,AU5),2),Sheet3!$D$1:$E$7,2,0))</f>
        <v/>
      </c>
      <c r="AV6" s="8" t="str">
        <f>IF(AV$5="","",VLOOKUP(WEEKDAY(DATE($A$2,$A$3+$A$1-1,AV5),2),Sheet3!$D$1:$E$7,2,0))</f>
        <v/>
      </c>
      <c r="AW6" s="8" t="str">
        <f>IF(AW$5="","",VLOOKUP(WEEKDAY(DATE($A$2,$A$3+$A$1-1,AW5),2),Sheet3!$D$1:$E$7,2,0))</f>
        <v/>
      </c>
      <c r="AX6" s="8" t="str">
        <f>IF(AX$5="","",VLOOKUP(WEEKDAY(DATE($A$2,$A$3+$A$1-1,AX5),2),Sheet3!$D$1:$E$7,2,0))</f>
        <v/>
      </c>
      <c r="AY6" s="8" t="str">
        <f>IF(AY$5="","",VLOOKUP(WEEKDAY(DATE($A$2,$A$3+$A$1-1,AY5),2),Sheet3!$D$1:$E$7,2,0))</f>
        <v/>
      </c>
      <c r="AZ6" s="8" t="str">
        <f>IF(AZ$5="","",VLOOKUP(WEEKDAY(DATE($A$2,$A$3+$A$1-1,AZ5),2),Sheet3!$D$1:$E$7,2,0))</f>
        <v/>
      </c>
      <c r="BA6" s="8" t="str">
        <f>IF(BA$5="","",VLOOKUP(WEEKDAY(DATE($A$2,$A$3+$A$1-1,BA5),2),Sheet3!$D$1:$E$7,2,0))</f>
        <v/>
      </c>
      <c r="BB6" s="8" t="str">
        <f>IF(BB$5="","",VLOOKUP(WEEKDAY(DATE($A$2,$A$3+$A$1-1,BB5),2),Sheet3!$D$1:$E$7,2,0))</f>
        <v/>
      </c>
      <c r="BC6" s="8" t="str">
        <f>IF(BC$5="","",VLOOKUP(WEEKDAY(DATE($A$2,$A$3+$A$1-1,BC5),2),Sheet3!$D$1:$E$7,2,0))</f>
        <v/>
      </c>
      <c r="BD6" s="8" t="str">
        <f>IF(BD$5="","",VLOOKUP(WEEKDAY(DATE($A$2,$A$3+$A$1-1,BD5),2),Sheet3!$D$1:$E$7,2,0))</f>
        <v/>
      </c>
      <c r="BE6" s="8" t="str">
        <f>IF(BE$5="","",VLOOKUP(WEEKDAY(DATE($A$2,$A$3+$A$1-1,BE5),2),Sheet3!$D$1:$E$7,2,0))</f>
        <v/>
      </c>
      <c r="BF6" s="8" t="str">
        <f>IF(BF$5="","",VLOOKUP(WEEKDAY(DATE($A$2,$A$3+$A$1-1,BF5),2),Sheet3!$D$1:$E$7,2,0))</f>
        <v/>
      </c>
      <c r="BG6" s="8" t="str">
        <f>IF(BG$5="","",VLOOKUP(WEEKDAY(DATE($A$2,$A$3+$A$1-1,BG5),2),Sheet3!$D$1:$E$7,2,0))</f>
        <v/>
      </c>
      <c r="BH6" s="8" t="str">
        <f>IF(BH$5="","",VLOOKUP(WEEKDAY(DATE($A$2,$A$3+$A$1-1,BH5),2),Sheet3!$D$1:$E$7,2,0))</f>
        <v/>
      </c>
      <c r="BI6" s="8" t="str">
        <f>IF(BI$5="","",VLOOKUP(WEEKDAY(DATE($A$2,$A$3+$A$1-1,BI5),2),Sheet3!$D$1:$E$7,2,0))</f>
        <v/>
      </c>
      <c r="BJ6" s="8" t="str">
        <f>IF(BJ$5="","",VLOOKUP(WEEKDAY(DATE($A$2,$A$3+$A$1-1,BJ5),2),Sheet3!$D$1:$E$7,2,0))</f>
        <v/>
      </c>
      <c r="BK6" s="8" t="str">
        <f>IF(BK$5="","",VLOOKUP(WEEKDAY(DATE($A$2,$A$3+$A$1-1,BK5),2),Sheet3!$D$1:$E$7,2,0))</f>
        <v/>
      </c>
      <c r="BL6" s="8" t="str">
        <f>IF(BL$5="","",VLOOKUP(WEEKDAY(DATE($A$2,$A$3+$A$1-1,BL5),2),Sheet3!$D$1:$E$7,2,0))</f>
        <v/>
      </c>
      <c r="BM6" s="8" t="str">
        <f>IF(BM$5="","",VLOOKUP(WEEKDAY(DATE($A$2,$A$3+$A$1-1,BM5),2),Sheet3!$D$1:$E$7,2,0))</f>
        <v/>
      </c>
      <c r="BN6" s="8" t="str">
        <f>IF(BN$5="","",VLOOKUP(WEEKDAY(DATE($A$2,$A$3+$A$1-1,BN5),2),Sheet3!$D$1:$E$7,2,0))</f>
        <v/>
      </c>
      <c r="BO6" s="8" t="str">
        <f>IF(BO$5="","",VLOOKUP(WEEKDAY(DATE($A$2,$A$3+$A$1-1,BO5),2),Sheet3!$D$1:$E$7,2,0))</f>
        <v/>
      </c>
      <c r="BP6" s="8" t="str">
        <f>IF(BP$5="","",VLOOKUP(WEEKDAY(DATE($A$2,$A$3+$A$1-1,BP5),2),Sheet3!$D$1:$E$7,2,0))</f>
        <v/>
      </c>
      <c r="BQ6" s="8" t="str">
        <f>IF(BQ$5="","",VLOOKUP(WEEKDAY(DATE($A$2,$A$3+$A$1-1,BQ5),2),Sheet3!$D$1:$E$7,2,0))</f>
        <v/>
      </c>
      <c r="BR6" s="8" t="str">
        <f>IF(BR$5="","",VLOOKUP(WEEKDAY(DATE($A$2,$A$3+$A$1-1,BR5),2),Sheet3!$D$1:$E$7,2,0))</f>
        <v/>
      </c>
      <c r="BS6" s="8" t="str">
        <f>IF(BS$5="","",VLOOKUP(WEEKDAY(DATE($A$2,$A$3+$A$1-1,BS5),2),Sheet3!$D$1:$E$7,2,0))</f>
        <v/>
      </c>
      <c r="BT6" s="8" t="str">
        <f>IF(BT$5="","",VLOOKUP(WEEKDAY(DATE($A$2,$A$3+$A$1-1,BT5),2),Sheet3!$D$1:$E$7,2,0))</f>
        <v/>
      </c>
      <c r="BU6" s="8" t="str">
        <f>IF(BU$5="","",VLOOKUP(WEEKDAY(DATE($A$2,$A$3+$A$1-1,BU5),2),Sheet3!$D$1:$E$7,2,0))</f>
        <v/>
      </c>
      <c r="BV6" s="8" t="str">
        <f>IF(BV$5="","",VLOOKUP(WEEKDAY(DATE($A$2,$A$3+$A$1-1,BV5),2),Sheet3!$D$1:$E$7,2,0))</f>
        <v/>
      </c>
      <c r="BW6" s="8" t="str">
        <f>IF(BW$5="","",VLOOKUP(WEEKDAY(DATE($A$2,$A$3+$A$1-1,BW5),2),Sheet3!$D$1:$E$7,2,0))</f>
        <v/>
      </c>
      <c r="BX6" s="8" t="str">
        <f>IF(BX$5="","",VLOOKUP(WEEKDAY(DATE($A$2,$A$3+$A$1-1,BX5),2),Sheet3!$D$1:$E$7,2,0))</f>
        <v/>
      </c>
      <c r="BY6" s="8" t="str">
        <f>IF(BY$5="","",VLOOKUP(WEEKDAY(DATE($A$2,$A$3+$A$1-1,BY5),2),Sheet3!$D$1:$E$7,2,0))</f>
        <v/>
      </c>
      <c r="BZ6" s="8" t="str">
        <f>IF(BZ$5="","",VLOOKUP(WEEKDAY(DATE($A$2,$A$3+$A$1-1,BZ5),2),Sheet3!$D$1:$E$7,2,0))</f>
        <v/>
      </c>
      <c r="CA6" s="8" t="str">
        <f>IF(CA$5="","",VLOOKUP(WEEKDAY(DATE($A$2,$A$3+$A$1-1,CA5),2),Sheet3!$D$1:$E$7,2,0))</f>
        <v/>
      </c>
      <c r="CB6" s="8" t="str">
        <f>IF(CB$5="","",VLOOKUP(WEEKDAY(DATE($A$2,$A$3+$A$1-1,CB5),2),Sheet3!$D$1:$E$7,2,0))</f>
        <v/>
      </c>
      <c r="CC6" s="8" t="str">
        <f>IF(CC$5="","",VLOOKUP(WEEKDAY(DATE($A$2,$A$3+$A$1-1,CC5),2),Sheet3!$D$1:$E$7,2,0))</f>
        <v/>
      </c>
      <c r="CD6" s="8" t="str">
        <f>IF(CD$5="","",VLOOKUP(WEEKDAY(DATE($A$2,$A$3+$A$1-1,CD5),2),Sheet3!$D$1:$E$7,2,0))</f>
        <v/>
      </c>
      <c r="CE6" s="8" t="str">
        <f>IF(CE$5="","",VLOOKUP(WEEKDAY(DATE($A$2,$A$3+$A$1-1,CE5),2),Sheet3!$D$1:$E$7,2,0))</f>
        <v/>
      </c>
      <c r="CF6" s="8" t="str">
        <f>IF(CF$5="","",VLOOKUP(WEEKDAY(DATE($A$2,$A$3+$A$1-1,CF5),2),Sheet3!$D$1:$E$7,2,0))</f>
        <v/>
      </c>
      <c r="CG6" s="8" t="str">
        <f>IF(CG$5="","",VLOOKUP(WEEKDAY(DATE($A$2,$A$3+$A$1-1,CG5),2),Sheet3!$D$1:$E$7,2,0))</f>
        <v/>
      </c>
      <c r="CH6" s="8" t="str">
        <f>IF(CH$5="","",VLOOKUP(WEEKDAY(DATE($A$2,$A$3+$A$1-1,CH5),2),Sheet3!$D$1:$E$7,2,0))</f>
        <v/>
      </c>
      <c r="CI6" s="8" t="str">
        <f>IF(CI$5="","",VLOOKUP(WEEKDAY(DATE($A$2,$A$3+$A$1-1,CI5),2),Sheet3!$D$1:$E$7,2,0))</f>
        <v/>
      </c>
      <c r="CJ6" s="8" t="str">
        <f>IF(CJ$5="","",VLOOKUP(WEEKDAY(DATE($A$2,$A$3+$A$1-1,CJ5),2),Sheet3!$D$1:$E$7,2,0))</f>
        <v/>
      </c>
      <c r="CK6" s="8" t="str">
        <f>IF(CK$5="","",VLOOKUP(WEEKDAY(DATE($A$2,$A$3+$A$1-1,CK5),2),Sheet3!$D$1:$E$7,2,0))</f>
        <v/>
      </c>
      <c r="CL6" s="8" t="str">
        <f>IF(CL$5="","",VLOOKUP(WEEKDAY(DATE($A$2,$A$3+$A$1-1,CL5),2),Sheet3!$D$1:$E$7,2,0))</f>
        <v/>
      </c>
      <c r="CM6" s="8" t="str">
        <f>IF(CM$5="","",VLOOKUP(WEEKDAY(DATE($A$2,$A$3+$A$1-1,CM5),2),Sheet3!$D$1:$E$7,2,0))</f>
        <v/>
      </c>
      <c r="CN6" s="8" t="str">
        <f>IF(CN$5="","",VLOOKUP(WEEKDAY(DATE($A$2,$A$3+$A$1-1,CN5),2),Sheet3!$D$1:$E$7,2,0))</f>
        <v/>
      </c>
      <c r="CO6" s="8" t="str">
        <f>IF(CO$5="","",VLOOKUP(WEEKDAY(DATE($A$2,$A$3+$A$1-1,CO5),2),Sheet3!$D$1:$E$7,2,0))</f>
        <v/>
      </c>
      <c r="CP6" s="8" t="str">
        <f>IF(CP$5="","",VLOOKUP(WEEKDAY(DATE($A$2,$A$3+$A$1-1,CP5),2),Sheet3!$D$1:$E$7,2,0))</f>
        <v/>
      </c>
      <c r="CQ6" s="8" t="s">
        <v>59</v>
      </c>
      <c r="CR6" s="8" t="str">
        <f>IF(CR$5="","",VLOOKUP(WEEKDAY(DATE($A$2,$A$3+$A$1-1,CR5),2),Sheet3!$D$1:$E$7,2,0))</f>
        <v/>
      </c>
      <c r="CS6" s="8" t="str">
        <f>IF(CS$5="","",VLOOKUP(WEEKDAY(DATE($A$2,$A$3+$A$1-1,CS5),2),Sheet3!$D$1:$E$7,2,0))</f>
        <v/>
      </c>
      <c r="CT6" s="8" t="str">
        <f>IF(CT$5="","",VLOOKUP(WEEKDAY(DATE($A$2,$A$3+$A$1-1,CT5),2),Sheet3!$D$1:$E$7,2,0))</f>
        <v/>
      </c>
      <c r="CU6" s="8" t="str">
        <f>IF(CU$5="","",VLOOKUP(WEEKDAY(DATE($A$2,$A$3+$A$1-1,CU5),2),Sheet3!$D$1:$E$7,2,0))</f>
        <v/>
      </c>
      <c r="CV6" s="8" t="str">
        <f>IF(CV$5="","",VLOOKUP(WEEKDAY(DATE($A$2,$A$3+$A$1-1,CV5),2),Sheet3!$D$1:$E$7,2,0))</f>
        <v/>
      </c>
      <c r="CW6" s="8" t="str">
        <f>IF(CW$5="","",VLOOKUP(WEEKDAY(DATE($A$2,$A$3+$A$1-1,CW5),2),Sheet3!$D$1:$E$7,2,0))</f>
        <v/>
      </c>
      <c r="CX6" s="8" t="str">
        <f>IF(CX$5="","",VLOOKUP(WEEKDAY(DATE($A$2,$A$3+$A$1-1,CX5),2),Sheet3!$D$1:$E$7,2,0))</f>
        <v/>
      </c>
      <c r="CY6" s="8" t="str">
        <f>IF(CY$5="","",VLOOKUP(WEEKDAY(DATE($A$2,$A$3+$A$1-1,CY5),2),Sheet3!$D$1:$E$7,2,0))</f>
        <v/>
      </c>
      <c r="CZ6" s="8" t="str">
        <f>IF(CZ$5="","",VLOOKUP(WEEKDAY(DATE($A$2,$A$3+$A$1-1,CZ5),2),Sheet3!$D$1:$E$7,2,0))</f>
        <v/>
      </c>
      <c r="DA6" s="8" t="str">
        <f>IF(DA$5="","",VLOOKUP(WEEKDAY(DATE($A$2,$A$3+$A$1-1,DA5),2),Sheet3!$D$1:$E$7,2,0))</f>
        <v/>
      </c>
      <c r="DB6" s="8" t="str">
        <f>IF(DB$5="","",VLOOKUP(WEEKDAY(DATE($A$2,$A$3+$A$1-1,DB5),2),Sheet3!$D$1:$E$7,2,0))</f>
        <v/>
      </c>
      <c r="DC6" s="8" t="str">
        <f>IF(DC$5="","",VLOOKUP(WEEKDAY(DATE($A$2,$A$3+$A$1-1,DC5),2),Sheet3!$D$1:$E$7,2,0))</f>
        <v/>
      </c>
      <c r="DD6" s="8" t="str">
        <f>IF(DD$5="","",VLOOKUP(WEEKDAY(DATE($A$2,$A$3+$A$1-1,DD5),2),Sheet3!$D$1:$E$7,2,0))</f>
        <v/>
      </c>
      <c r="DE6" s="8" t="str">
        <f>IF(DE$5="","",VLOOKUP(WEEKDAY(DATE($A$2,$A$3+$A$1-1,DE5),2),Sheet3!$D$1:$E$7,2,0))</f>
        <v/>
      </c>
      <c r="DF6" s="8" t="str">
        <f>IF(DF$5="","",VLOOKUP(WEEKDAY(DATE($A$2,$A$3+$A$1-1,DF5),2),Sheet3!$D$1:$E$7,2,0))</f>
        <v/>
      </c>
      <c r="DG6" s="8" t="str">
        <f>IF(DG$5="","",VLOOKUP(WEEKDAY(DATE($A$2,$A$3+$A$1-1,DG5),2),Sheet3!$D$1:$E$7,2,0))</f>
        <v/>
      </c>
      <c r="DH6" s="8" t="str">
        <f>IF(DH$5="","",VLOOKUP(WEEKDAY(DATE($A$2,$A$3+$A$1-1,DH5),2),Sheet3!$D$1:$E$7,2,0))</f>
        <v/>
      </c>
      <c r="DI6" s="8" t="str">
        <f>IF(DI$5="","",VLOOKUP(WEEKDAY(DATE($A$2,$A$3+$A$1-1,DI5),2),Sheet3!$D$1:$E$7,2,0))</f>
        <v/>
      </c>
      <c r="DJ6" s="8" t="str">
        <f>IF(DJ$5="","",VLOOKUP(WEEKDAY(DATE($A$2,$A$3+$A$1-1,DJ5),2),Sheet3!$D$1:$E$7,2,0))</f>
        <v/>
      </c>
      <c r="DK6" s="8" t="str">
        <f>IF(DK$5="","",VLOOKUP(WEEKDAY(DATE($A$2,$A$3+$A$1-1,DK5),2),Sheet3!$D$1:$E$7,2,0))</f>
        <v/>
      </c>
      <c r="DL6" s="8" t="str">
        <f>IF(DL$5="","",VLOOKUP(WEEKDAY(DATE($A$2,$A$3+$A$1-1,DL5),2),Sheet3!$D$1:$E$7,2,0))</f>
        <v/>
      </c>
      <c r="DM6" s="8" t="str">
        <f>IF(DM$5="","",VLOOKUP(WEEKDAY(DATE($A$2,$A$3+$A$1-1,DM5),2),Sheet3!$D$1:$E$7,2,0))</f>
        <v/>
      </c>
      <c r="DN6" s="8" t="str">
        <f>IF(DN$5="","",VLOOKUP(WEEKDAY(DATE($A$2,$A$3+$A$1-1,DN5),2),Sheet3!$D$1:$E$7,2,0))</f>
        <v/>
      </c>
      <c r="DO6" s="8" t="str">
        <f>IF(DO$5="","",VLOOKUP(WEEKDAY(DATE($A$2,$A$3+$A$1-1,DO5),2),Sheet3!$D$1:$E$7,2,0))</f>
        <v/>
      </c>
      <c r="DP6" s="8" t="str">
        <f>IF(DP$5="","",VLOOKUP(WEEKDAY(DATE($A$2,$A$3+$A$1-1,DP5),2),Sheet3!$D$1:$E$7,2,0))</f>
        <v/>
      </c>
      <c r="DQ6" s="8" t="str">
        <f>IF(DQ$5="","",VLOOKUP(WEEKDAY(DATE($A$2,$A$3+$A$1-1,DQ5),2),Sheet3!$D$1:$E$7,2,0))</f>
        <v/>
      </c>
      <c r="DR6" s="8" t="str">
        <f>IF(DR$5="","",VLOOKUP(WEEKDAY(DATE($A$2,$A$3+$A$1-1,DR5),2),Sheet3!$D$1:$E$7,2,0))</f>
        <v/>
      </c>
      <c r="DS6" s="8" t="str">
        <f>IF(DS$5="","",VLOOKUP(WEEKDAY(DATE($A$2,$A$3+$A$1-1,DS5),2),Sheet3!$D$1:$E$7,2,0))</f>
        <v/>
      </c>
      <c r="DT6" s="8" t="str">
        <f>IF(DT$5="","",VLOOKUP(WEEKDAY(DATE($A$2,$A$3+$A$1-1,DT5),2),Sheet3!$D$1:$E$7,2,0))</f>
        <v/>
      </c>
      <c r="DU6" s="8" t="str">
        <f>IF(DU$5="","",VLOOKUP(WEEKDAY(DATE($A$2,$A$3+$A$1-1,DU5),2),Sheet3!$D$1:$E$7,2,0))</f>
        <v/>
      </c>
      <c r="DV6" s="8" t="str">
        <f>IF(DV$5="","",VLOOKUP(WEEKDAY(DATE($A$2,$A$3+$A$1-1,DV5),2),Sheet3!$D$1:$E$7,2,0))</f>
        <v/>
      </c>
      <c r="DW6" s="8" t="str">
        <f>IF(DW$5="","",VLOOKUP(WEEKDAY(DATE($A$2,$A$3+$A$1-1,DW5),2),Sheet3!$D$1:$E$7,2,0))</f>
        <v/>
      </c>
      <c r="DX6" s="8" t="str">
        <f>IF(DX$5="","",VLOOKUP(WEEKDAY(DATE($A$2,$A$3+$A$1-1,DX5),2),Sheet3!$D$1:$E$7,2,0))</f>
        <v/>
      </c>
      <c r="DY6" s="8" t="str">
        <f>IF(DY$5="","",VLOOKUP(WEEKDAY(DATE($A$2,$A$3+$A$1-1,DY5),2),Sheet3!$D$1:$E$7,2,0))</f>
        <v/>
      </c>
      <c r="DZ6" s="8" t="str">
        <f>IF(DZ$5="","",VLOOKUP(WEEKDAY(DATE($A$2,$A$3+$A$1-1,DZ5),2),Sheet3!$D$1:$E$7,2,0))</f>
        <v/>
      </c>
      <c r="EA6" s="8" t="str">
        <f>IF(EA$5="","",VLOOKUP(WEEKDAY(DATE($A$2,$A$3+$A$1-1,EA5),2),Sheet3!$D$1:$E$7,2,0))</f>
        <v/>
      </c>
      <c r="EB6" s="8" t="str">
        <f>IF(EB$5="","",VLOOKUP(WEEKDAY(DATE($A$2,$A$3+$A$1-1,EB5),2),Sheet3!$D$1:$E$7,2,0))</f>
        <v/>
      </c>
      <c r="EC6" s="8" t="str">
        <f>IF(EC$5="","",VLOOKUP(WEEKDAY(DATE($A$2,$A$3+$A$1-1,EC5),2),Sheet3!$D$1:$E$7,2,0))</f>
        <v/>
      </c>
      <c r="ED6" s="8" t="str">
        <f>IF(ED$5="","",VLOOKUP(WEEKDAY(DATE($A$2,$A$3+$A$1-1,ED5),2),Sheet3!$D$1:$E$7,2,0))</f>
        <v/>
      </c>
      <c r="EE6" s="8" t="str">
        <f>IF(EE$5="","",VLOOKUP(WEEKDAY(DATE($A$2,$A$3+$A$1-1,EE5),2),Sheet3!$D$1:$E$7,2,0))</f>
        <v/>
      </c>
      <c r="EF6" s="8" t="str">
        <f>IF(EF$5="","",VLOOKUP(WEEKDAY(DATE($A$2,$A$3+$A$1-1,EF5),2),Sheet3!$D$1:$E$7,2,0))</f>
        <v/>
      </c>
      <c r="EG6" s="8" t="str">
        <f>IF(EG$5="","",VLOOKUP(WEEKDAY(DATE($A$2,$A$3+$A$1-1,EG5),2),Sheet3!$D$1:$E$7,2,0))</f>
        <v/>
      </c>
      <c r="EH6" s="8" t="str">
        <f>IF(EH$5="","",VLOOKUP(WEEKDAY(DATE($A$2,$A$3+$A$1-1,EH5),2),Sheet3!$D$1:$E$7,2,0))</f>
        <v/>
      </c>
      <c r="EI6" s="8" t="str">
        <f>IF(EI$5="","",VLOOKUP(WEEKDAY(DATE($A$2,$A$3+$A$1-1,EI5),2),Sheet3!$D$1:$E$7,2,0))</f>
        <v/>
      </c>
      <c r="EJ6" s="8" t="str">
        <f>IF(EJ$5="","",VLOOKUP(WEEKDAY(DATE($A$2,$A$3+$A$1-1,EJ5),2),Sheet3!$D$1:$E$7,2,0))</f>
        <v/>
      </c>
      <c r="EK6" s="8" t="str">
        <f>IF(EK$5="","",VLOOKUP(WEEKDAY(DATE($A$2,$A$3+$A$1-1,EK5),2),Sheet3!$D$1:$E$7,2,0))</f>
        <v/>
      </c>
      <c r="EL6" s="8" t="str">
        <f>IF(EL$5="","",VLOOKUP(WEEKDAY(DATE($A$2,$A$3+$A$1-1,EL5),2),Sheet3!$D$1:$E$7,2,0))</f>
        <v/>
      </c>
      <c r="EM6" s="8" t="str">
        <f>IF(EM$5="","",VLOOKUP(WEEKDAY(DATE($A$2,$A$3+$A$1-1,EM5),2),Sheet3!$D$1:$E$7,2,0))</f>
        <v/>
      </c>
      <c r="EN6" s="8" t="str">
        <f>IF(EN$5="","",VLOOKUP(WEEKDAY(DATE($A$2,$A$3+$A$1-1,EN5),2),Sheet3!$D$1:$E$7,2,0))</f>
        <v/>
      </c>
      <c r="EO6" s="8" t="str">
        <f>IF(EO$5="","",VLOOKUP(WEEKDAY(DATE($A$2,$A$3+$A$1-1,EO5),2),Sheet3!$D$1:$E$7,2,0))</f>
        <v/>
      </c>
      <c r="EP6" s="8" t="str">
        <f>IF(EP$5="","",VLOOKUP(WEEKDAY(DATE($A$2,$A$3+$A$1-1,EP5),2),Sheet3!$D$1:$E$7,2,0))</f>
        <v/>
      </c>
      <c r="EQ6" s="8" t="str">
        <f>IF(EQ$5="","",VLOOKUP(WEEKDAY(DATE($A$2,$A$3+$A$1-1,EQ5),2),Sheet3!$D$1:$E$7,2,0))</f>
        <v/>
      </c>
      <c r="ER6" s="8" t="str">
        <f>IF(ER$5="","",VLOOKUP(WEEKDAY(DATE($A$2,$A$3+$A$1-1,ER5),2),Sheet3!$D$1:$E$7,2,0))</f>
        <v/>
      </c>
      <c r="ES6" s="8" t="str">
        <f>IF(ES$5="","",VLOOKUP(WEEKDAY(DATE($A$2,$A$3+$A$1-1,ES5),2),Sheet3!$D$1:$E$7,2,0))</f>
        <v/>
      </c>
      <c r="ET6" s="8" t="str">
        <f>IF(ET$5="","",VLOOKUP(WEEKDAY(DATE($A$2,$A$3+$A$1-1,ET5),2),Sheet3!$D$1:$E$7,2,0))</f>
        <v/>
      </c>
      <c r="EU6" s="8" t="str">
        <f>IF(EU$5="","",VLOOKUP(WEEKDAY(DATE($A$2,$A$3+$A$1-1,EU5),2),Sheet3!$D$1:$E$7,2,0))</f>
        <v/>
      </c>
      <c r="EV6" s="8" t="str">
        <f>IF(EV$5="","",VLOOKUP(WEEKDAY(DATE($A$2,$A$3+$A$1-1,EV5),2),Sheet3!$D$1:$E$7,2,0))</f>
        <v/>
      </c>
      <c r="EW6" s="8" t="str">
        <f>IF(EW$5="","",VLOOKUP(WEEKDAY(DATE($A$2,$A$3+$A$1-1,EW5),2),Sheet3!$D$1:$E$7,2,0))</f>
        <v/>
      </c>
      <c r="EX6" s="8" t="str">
        <f>IF(EX$5="","",VLOOKUP(WEEKDAY(DATE($A$2,$A$3+$A$1-1,EX5),2),Sheet3!$D$1:$E$7,2,0))</f>
        <v/>
      </c>
      <c r="EY6" s="8" t="str">
        <f>IF(EY$5="","",VLOOKUP(WEEKDAY(DATE($A$2,$A$3+$A$1-1,EY5),2),Sheet3!$D$1:$E$7,2,0))</f>
        <v/>
      </c>
      <c r="EZ6" s="8" t="str">
        <f>IF(EZ$5="","",VLOOKUP(WEEKDAY(DATE($A$2,$A$3+$A$1-1,EZ5),2),Sheet3!$D$1:$E$7,2,0))</f>
        <v/>
      </c>
      <c r="FA6" s="8" t="str">
        <f>IF(FA$5="","",VLOOKUP(WEEKDAY(DATE($A$2,$A$3+$A$1-1,FA5),2),Sheet3!$D$1:$E$7,2,0))</f>
        <v/>
      </c>
      <c r="FB6" s="8" t="str">
        <f>IF(FB$5="","",VLOOKUP(WEEKDAY(DATE($A$2,$A$3+$A$1-1,FB5),2),Sheet3!$D$1:$E$7,2,0))</f>
        <v/>
      </c>
      <c r="FC6" s="8" t="str">
        <f>IF(FC$5="","",VLOOKUP(WEEKDAY(DATE($A$2,$A$3+$A$1-1,FC5),2),Sheet3!$D$1:$E$7,2,0))</f>
        <v/>
      </c>
      <c r="FD6" s="8" t="str">
        <f>IF(FD$5="","",VLOOKUP(WEEKDAY(DATE($A$2,$A$3+$A$1-1,FD5),2),Sheet3!$D$1:$E$7,2,0))</f>
        <v/>
      </c>
      <c r="FE6" s="8" t="str">
        <f>IF(FE$5="","",VLOOKUP(WEEKDAY(DATE($A$2,$A$3+$A$1-1,FE5),2),Sheet3!$D$1:$E$7,2,0))</f>
        <v/>
      </c>
      <c r="FF6" s="8" t="str">
        <f>IF(FF$5="","",VLOOKUP(WEEKDAY(DATE($A$2,$A$3+$A$1-1,FF5),2),Sheet3!$D$1:$E$7,2,0))</f>
        <v/>
      </c>
      <c r="FG6" s="8" t="str">
        <f>IF(FG$5="","",VLOOKUP(WEEKDAY(DATE($A$2,$A$3+$A$1-1,FG5),2),Sheet3!$D$1:$E$7,2,0))</f>
        <v/>
      </c>
      <c r="FH6" s="8" t="str">
        <f>IF(FH$5="","",VLOOKUP(WEEKDAY(DATE($A$2,$A$3+$A$1-1,FH5),2),Sheet3!$D$1:$E$7,2,0))</f>
        <v/>
      </c>
      <c r="FI6" s="8" t="str">
        <f>IF(FI$5="","",VLOOKUP(WEEKDAY(DATE($A$2,$A$3+$A$1-1,FI5),2),Sheet3!$D$1:$E$7,2,0))</f>
        <v/>
      </c>
      <c r="FJ6" s="8" t="str">
        <f>IF(FJ$5="","",VLOOKUP(WEEKDAY(DATE($A$2,$A$3+$A$1-1,FJ5),2),Sheet3!$D$1:$E$7,2,0))</f>
        <v/>
      </c>
      <c r="FK6" s="8" t="str">
        <f>IF(FK$5="","",VLOOKUP(WEEKDAY(DATE($A$2,$A$3+$A$1-1,FK5),2),Sheet3!$D$1:$E$7,2,0))</f>
        <v/>
      </c>
      <c r="FL6" s="8" t="str">
        <f>IF(FL$5="","",VLOOKUP(WEEKDAY(DATE($A$2,$A$3+$A$1-1,FL5),2),Sheet3!$D$1:$E$7,2,0))</f>
        <v/>
      </c>
      <c r="FM6" s="8" t="str">
        <f>IF(FM$5="","",VLOOKUP(WEEKDAY(DATE($A$2,$A$3+$A$1-1,FM5),2),Sheet3!$D$1:$E$7,2,0))</f>
        <v/>
      </c>
      <c r="FN6" s="8" t="str">
        <f>IF(FN$5="","",VLOOKUP(WEEKDAY(DATE($A$2,$A$3+$A$1-1,FN5),2),Sheet3!$D$1:$E$7,2,0))</f>
        <v/>
      </c>
      <c r="FO6" s="8" t="str">
        <f>IF(FO$5="","",VLOOKUP(WEEKDAY(DATE($A$2,$A$3+$A$1-1,FO5),2),Sheet3!$D$1:$E$7,2,0))</f>
        <v/>
      </c>
      <c r="FP6" s="8" t="str">
        <f>IF(FP$5="","",VLOOKUP(WEEKDAY(DATE($A$2,$A$3+$A$1-1,FP5),2),Sheet3!$D$1:$E$7,2,0))</f>
        <v/>
      </c>
      <c r="FQ6" s="8" t="str">
        <f>IF(FQ$5="","",VLOOKUP(WEEKDAY(DATE($A$2,$A$3+$A$1-1,FQ5),2),Sheet3!$D$1:$E$7,2,0))</f>
        <v/>
      </c>
      <c r="FR6" s="8" t="str">
        <f>IF(FR$5="","",VLOOKUP(WEEKDAY(DATE($A$2,$A$3+$A$1-1,FR5),2),Sheet3!$D$1:$E$7,2,0))</f>
        <v/>
      </c>
      <c r="FS6" s="8" t="str">
        <f>IF(FS$5="","",VLOOKUP(WEEKDAY(DATE($A$2,$A$3+$A$1-1,FS5),2),Sheet3!$D$1:$E$7,2,0))</f>
        <v/>
      </c>
      <c r="FT6" s="8" t="str">
        <f>IF(FT$5="","",VLOOKUP(WEEKDAY(DATE($A$2,$A$3+$A$1-1,FT5),2),Sheet3!$D$1:$E$7,2,0))</f>
        <v/>
      </c>
      <c r="FU6" s="8" t="str">
        <f>IF(FU$5="","",VLOOKUP(WEEKDAY(DATE($A$2,$A$3+$A$1-1,FU5),2),Sheet3!$D$1:$E$7,2,0))</f>
        <v/>
      </c>
      <c r="FV6" s="8" t="str">
        <f>IF(FV$5="","",VLOOKUP(WEEKDAY(DATE($A$2,$A$3+$A$1-1,FV5),2),Sheet3!$D$1:$E$7,2,0))</f>
        <v/>
      </c>
      <c r="FW6" s="8" t="str">
        <f>IF(FW$5="","",VLOOKUP(WEEKDAY(DATE($A$2,$A$3+$A$1-1,FW5),2),Sheet3!$D$1:$E$7,2,0))</f>
        <v/>
      </c>
      <c r="FX6" s="8" t="str">
        <f>IF(FX$5="","",VLOOKUP(WEEKDAY(DATE($A$2,$A$3+$A$1-1,FX5),2),Sheet3!$D$1:$E$7,2,0))</f>
        <v/>
      </c>
      <c r="FY6" s="8" t="str">
        <f>IF(FY$5="","",VLOOKUP(WEEKDAY(DATE($A$2,$A$3+$A$1-1,FY5),2),Sheet3!$D$1:$E$7,2,0))</f>
        <v/>
      </c>
      <c r="FZ6" s="8" t="str">
        <f>IF(FZ$5="","",VLOOKUP(WEEKDAY(DATE($A$2,$A$3+$A$1-1,FZ5),2),Sheet3!$D$1:$E$7,2,0))</f>
        <v/>
      </c>
      <c r="GA6" s="8" t="str">
        <f>IF(GA$5="","",VLOOKUP(WEEKDAY(DATE($A$2,$A$3+$A$1-1,GA5),2),Sheet3!$D$1:$E$7,2,0))</f>
        <v/>
      </c>
      <c r="GB6" s="8" t="str">
        <f>IF(GB$5="","",VLOOKUP(WEEKDAY(DATE($A$2,$A$3+$A$1-1,GB5),2),Sheet3!$D$1:$E$7,2,0))</f>
        <v/>
      </c>
      <c r="GC6" s="8" t="str">
        <f>IF(GC$5="","",VLOOKUP(WEEKDAY(DATE($A$2,$A$3+$A$1-1,GC5),2),Sheet3!$D$1:$E$7,2,0))</f>
        <v/>
      </c>
      <c r="GD6" s="8" t="str">
        <f>IF(GD$5="","",VLOOKUP(WEEKDAY(DATE($A$2,$A$3+$A$1-1,GD5),2),Sheet3!$D$1:$E$7,2,0))</f>
        <v/>
      </c>
      <c r="GE6" s="8" t="str">
        <f>IF(GE$5="","",VLOOKUP(WEEKDAY(DATE($A$2,$A$3+$A$1-1,GE5),2),Sheet3!$D$1:$E$7,2,0))</f>
        <v/>
      </c>
      <c r="GF6" s="8" t="str">
        <f>IF(GF$5="","",VLOOKUP(WEEKDAY(DATE($A$2,$A$3+$A$1-1,GF5),2),Sheet3!$D$1:$E$7,2,0))</f>
        <v/>
      </c>
      <c r="GG6" s="8" t="str">
        <f>IF(GG$5="","",VLOOKUP(WEEKDAY(DATE($A$2,$A$3+$A$1-1,GG5),2),Sheet3!$D$1:$E$7,2,0))</f>
        <v/>
      </c>
      <c r="GH6" s="8" t="str">
        <f>IF(GH$5="","",VLOOKUP(WEEKDAY(DATE($A$2,$A$3+$A$1-1,GH5),2),Sheet3!$D$1:$E$7,2,0))</f>
        <v/>
      </c>
      <c r="GI6" s="8" t="str">
        <f>IF(GI$5="","",VLOOKUP(WEEKDAY(DATE($A$2,$A$3+$A$1-1,GI5),2),Sheet3!$D$1:$E$7,2,0))</f>
        <v/>
      </c>
      <c r="GJ6" s="8" t="str">
        <f>IF(GJ$5="","",VLOOKUP(WEEKDAY(DATE($A$2,$A$3+$A$1-1,GJ5),2),Sheet3!$D$1:$E$7,2,0))</f>
        <v/>
      </c>
      <c r="GK6" s="8" t="str">
        <f>IF(GK$5="","",VLOOKUP(WEEKDAY(DATE($A$2,$A$3+$A$1-1,GK5),2),Sheet3!$D$1:$E$7,2,0))</f>
        <v/>
      </c>
      <c r="GL6" s="8" t="str">
        <f>IF(GL$5="","",VLOOKUP(WEEKDAY(DATE($A$2,$A$3+$A$1-1,GL5),2),Sheet3!$D$1:$E$7,2,0))</f>
        <v/>
      </c>
      <c r="GM6" s="8" t="str">
        <f>IF(GM$5="","",VLOOKUP(WEEKDAY(DATE($A$2,$A$3+$A$1-1,GM5),2),Sheet3!$D$1:$E$7,2,0))</f>
        <v/>
      </c>
      <c r="GN6" s="8" t="str">
        <f>IF(GN$5="","",VLOOKUP(WEEKDAY(DATE($A$2,$A$3+$A$1-1,GN5),2),Sheet3!$D$1:$E$7,2,0))</f>
        <v/>
      </c>
      <c r="GO6" s="8" t="str">
        <f>IF(GO$5="","",VLOOKUP(WEEKDAY(DATE($A$2,$A$3+$A$1-1,GO5),2),Sheet3!$D$1:$E$7,2,0))</f>
        <v/>
      </c>
      <c r="GP6" s="8" t="str">
        <f>IF(GP$5="","",VLOOKUP(WEEKDAY(DATE($A$2,$A$3+$A$1-1,GP5),2),Sheet3!$D$1:$E$7,2,0))</f>
        <v/>
      </c>
      <c r="GQ6" s="8" t="str">
        <f>IF(GQ$5="","",VLOOKUP(WEEKDAY(DATE($A$2,$A$3+$A$1-1,GQ5),2),Sheet3!$D$1:$E$7,2,0))</f>
        <v/>
      </c>
      <c r="GR6" s="8" t="str">
        <f>IF(GR$5="","",VLOOKUP(WEEKDAY(DATE($A$2,$A$3+$A$1-1,GR5),2),Sheet3!$D$1:$E$7,2,0))</f>
        <v/>
      </c>
      <c r="GS6" s="8" t="str">
        <f>IF(GS$5="","",VLOOKUP(WEEKDAY(DATE($A$2,$A$3+$A$1-1,GS5),2),Sheet3!$D$1:$E$7,2,0))</f>
        <v/>
      </c>
      <c r="GT6" s="8" t="str">
        <f>IF(GT$5="","",VLOOKUP(WEEKDAY(DATE($A$2,$A$3+$A$1-1,GT5),2),Sheet3!$D$1:$E$7,2,0))</f>
        <v/>
      </c>
      <c r="GU6" s="8" t="str">
        <f>IF(GU$5="","",VLOOKUP(WEEKDAY(DATE($A$2,$A$3+$A$1-1,GU5),2),Sheet3!$D$1:$E$7,2,0))</f>
        <v/>
      </c>
      <c r="GV6" s="8" t="str">
        <f>IF(GV$5="","",VLOOKUP(WEEKDAY(DATE($A$2,$A$3+$A$1-1,GV5),2),Sheet3!$D$1:$E$7,2,0))</f>
        <v/>
      </c>
      <c r="GW6" s="8" t="str">
        <f>IF(GW$5="","",VLOOKUP(WEEKDAY(DATE($A$2,$A$3+$A$1-1,GW5),2),Sheet3!$D$1:$E$7,2,0))</f>
        <v/>
      </c>
      <c r="GX6" s="8" t="str">
        <f>IF(GX$5="","",VLOOKUP(WEEKDAY(DATE($A$2,$A$3+$A$1-1,GX5),2),Sheet3!$D$1:$E$7,2,0))</f>
        <v/>
      </c>
      <c r="GY6" s="8" t="str">
        <f>IF(GY$5="","",VLOOKUP(WEEKDAY(DATE($A$2,$A$3+$A$1-1,GY5),2),Sheet3!$D$1:$E$7,2,0))</f>
        <v/>
      </c>
      <c r="GZ6" s="8" t="str">
        <f>IF(GZ$5="","",VLOOKUP(WEEKDAY(DATE($A$2,$A$3+$A$1-1,GZ5),2),Sheet3!$D$1:$E$7,2,0))</f>
        <v/>
      </c>
      <c r="HA6" s="8" t="str">
        <f>IF(HA$5="","",VLOOKUP(WEEKDAY(DATE($A$2,$A$3+$A$1-1,HA5),2),Sheet3!$D$1:$E$7,2,0))</f>
        <v/>
      </c>
      <c r="HB6" s="8" t="str">
        <f>IF(HB$5="","",VLOOKUP(WEEKDAY(DATE($A$2,$A$3+$A$1-1,HB5),2),Sheet3!$D$1:$E$7,2,0))</f>
        <v/>
      </c>
      <c r="HC6" s="8" t="str">
        <f>IF(HC$5="","",VLOOKUP(WEEKDAY(DATE($A$2,$A$3+$A$1-1,HC5),2),Sheet3!$D$1:$E$7,2,0))</f>
        <v/>
      </c>
      <c r="HD6" s="8" t="str">
        <f>IF(HD$5="","",VLOOKUP(WEEKDAY(DATE($A$2,$A$3+$A$1-1,HD5),2),Sheet3!$D$1:$E$7,2,0))</f>
        <v/>
      </c>
      <c r="HE6" s="8" t="str">
        <f>IF(HE$5="","",VLOOKUP(WEEKDAY(DATE($A$2,$A$3+$A$1-1,HE5),2),Sheet3!$D$1:$E$7,2,0))</f>
        <v/>
      </c>
      <c r="HF6" s="8" t="str">
        <f>IF(HF$5="","",VLOOKUP(WEEKDAY(DATE($A$2,$A$3+$A$1-1,HF5),2),Sheet3!$D$1:$E$7,2,0))</f>
        <v/>
      </c>
      <c r="HG6" s="8" t="str">
        <f>IF(HG$5="","",VLOOKUP(WEEKDAY(DATE($A$2,$A$3+$A$1-1,HG5),2),Sheet3!$D$1:$E$7,2,0))</f>
        <v/>
      </c>
      <c r="HH6" s="8" t="str">
        <f>IF(HH$5="","",VLOOKUP(WEEKDAY(DATE($A$2,$A$3+$A$1-1,HH5),2),Sheet3!$D$1:$E$7,2,0))</f>
        <v/>
      </c>
      <c r="HI6" s="8" t="str">
        <f>IF(HI$5="","",VLOOKUP(WEEKDAY(DATE($A$2,$A$3+$A$1-1,HI5),2),Sheet3!$D$1:$E$7,2,0))</f>
        <v/>
      </c>
      <c r="HJ6" s="8" t="str">
        <f>IF(HJ$5="","",VLOOKUP(WEEKDAY(DATE($A$2,$A$3+$A$1-1,HJ5),2),Sheet3!$D$1:$E$7,2,0))</f>
        <v/>
      </c>
      <c r="HK6" s="8" t="str">
        <f>IF(HK$5="","",VLOOKUP(WEEKDAY(DATE($A$2,$A$3+$A$1-1,HK5),2),Sheet3!$D$1:$E$7,2,0))</f>
        <v/>
      </c>
      <c r="HL6" s="8" t="str">
        <f>IF(HL$5="","",VLOOKUP(WEEKDAY(DATE($A$2,$A$3+$A$1-1,HL5),2),Sheet3!$D$1:$E$7,2,0))</f>
        <v/>
      </c>
      <c r="HM6" s="8" t="str">
        <f>IF(HM$5="","",VLOOKUP(WEEKDAY(DATE($A$2,$A$3+$A$1-1,HM5),2),Sheet3!$D$1:$E$7,2,0))</f>
        <v/>
      </c>
      <c r="HN6" s="8" t="str">
        <f>IF(HN$5="","",VLOOKUP(WEEKDAY(DATE($A$2,$A$3+$A$1-1,HN5),2),Sheet3!$D$1:$E$7,2,0))</f>
        <v/>
      </c>
      <c r="HO6" s="8" t="str">
        <f>IF(HO$5="","",VLOOKUP(WEEKDAY(DATE($A$2,$A$3+$A$1-1,HO5),2),Sheet3!$D$1:$E$7,2,0))</f>
        <v/>
      </c>
      <c r="HP6" s="8" t="str">
        <f>IF(HP$5="","",VLOOKUP(WEEKDAY(DATE($A$2,$A$3+$A$1-1,HP5),2),Sheet3!$D$1:$E$7,2,0))</f>
        <v/>
      </c>
      <c r="HQ6" s="8" t="str">
        <f>IF(HQ$5="","",VLOOKUP(WEEKDAY(DATE($A$2,$A$3+$A$1-1,HQ5),2),Sheet3!$D$1:$E$7,2,0))</f>
        <v/>
      </c>
      <c r="HR6" s="8" t="str">
        <f>IF(HR$5="","",VLOOKUP(WEEKDAY(DATE($A$2,$A$3+$A$1-1,HR5),2),Sheet3!$D$1:$E$7,2,0))</f>
        <v/>
      </c>
      <c r="HS6" s="8" t="str">
        <f>IF(HS$5="","",VLOOKUP(WEEKDAY(DATE($A$2,$A$3+$A$1-1,HS5),2),Sheet3!$D$1:$E$7,2,0))</f>
        <v/>
      </c>
      <c r="HT6" s="8" t="str">
        <f>IF(HT$5="","",VLOOKUP(WEEKDAY(DATE($A$2,$A$3+$A$1-1,HT5),2),Sheet3!$D$1:$E$7,2,0))</f>
        <v/>
      </c>
      <c r="HU6" s="8" t="str">
        <f>IF(HU$5="","",VLOOKUP(WEEKDAY(DATE($A$2,$A$3+$A$1-1,HU5),2),Sheet3!$D$1:$E$7,2,0))</f>
        <v/>
      </c>
      <c r="HV6" s="8" t="str">
        <f>IF(HV$5="","",VLOOKUP(WEEKDAY(DATE($A$2,$A$3+$A$1-1,HV5),2),Sheet3!$D$1:$E$7,2,0))</f>
        <v/>
      </c>
      <c r="HW6" s="8" t="str">
        <f>IF(HW$5="","",VLOOKUP(WEEKDAY(DATE($A$2,$A$3+$A$1-1,HW5),2),Sheet3!$D$1:$E$7,2,0))</f>
        <v/>
      </c>
      <c r="HX6" s="8" t="str">
        <f>IF(HX$5="","",VLOOKUP(WEEKDAY(DATE($A$2,$A$3+$A$1-1,HX5),2),Sheet3!$D$1:$E$7,2,0))</f>
        <v/>
      </c>
      <c r="HY6" s="8" t="str">
        <f>IF(HY$5="","",VLOOKUP(WEEKDAY(DATE($A$2,$A$3+$A$1-1,HY5),2),Sheet3!$D$1:$E$7,2,0))</f>
        <v/>
      </c>
      <c r="HZ6" s="8" t="str">
        <f>IF(HZ$5="","",VLOOKUP(WEEKDAY(DATE($A$2,$A$3+$A$1-1,HZ5),2),Sheet3!$D$1:$E$7,2,0))</f>
        <v/>
      </c>
      <c r="IA6" s="8" t="str">
        <f>IF(IA$5="","",VLOOKUP(WEEKDAY(DATE($A$2,$A$3+$A$1-1,IA5),2),Sheet3!$D$1:$E$7,2,0))</f>
        <v/>
      </c>
      <c r="IB6" s="8" t="str">
        <f>IF(IB$5="","",VLOOKUP(WEEKDAY(DATE($A$2,$A$3+$A$1-1,IB5),2),Sheet3!$D$1:$E$7,2,0))</f>
        <v/>
      </c>
      <c r="IC6" s="8" t="str">
        <f>IF(IC$5="","",VLOOKUP(WEEKDAY(DATE($A$2,$A$3+$A$1-1,IC5),2),Sheet3!$D$1:$E$7,2,0))</f>
        <v/>
      </c>
      <c r="ID6" s="8" t="str">
        <f>IF(ID$5="","",VLOOKUP(WEEKDAY(DATE($A$2,$A$3+$A$1-1,ID5),2),Sheet3!$D$1:$E$7,2,0))</f>
        <v/>
      </c>
      <c r="IE6" s="8" t="str">
        <f>IF(IE$5="","",VLOOKUP(WEEKDAY(DATE($A$2,$A$3+$A$1-1,IE5),2),Sheet3!$D$1:$E$7,2,0))</f>
        <v/>
      </c>
      <c r="IF6" s="8" t="str">
        <f>IF(IF$5="","",VLOOKUP(WEEKDAY(DATE($A$2,$A$3+$A$1-1,IF5),2),Sheet3!$D$1:$E$7,2,0))</f>
        <v/>
      </c>
      <c r="IG6" s="8" t="str">
        <f>IF(IG$5="","",VLOOKUP(WEEKDAY(DATE($A$2,$A$3+$A$1-1,IG5),2),Sheet3!$D$1:$E$7,2,0))</f>
        <v/>
      </c>
      <c r="IH6" s="8" t="str">
        <f>IF(IH$5="","",VLOOKUP(WEEKDAY(DATE($A$2,$A$3+$A$1-1,IH5),2),Sheet3!$D$1:$E$7,2,0))</f>
        <v/>
      </c>
      <c r="II6" s="8" t="str">
        <f>IF(II$5="","",VLOOKUP(WEEKDAY(DATE($A$2,$A$3+$A$1-1,II5),2),Sheet3!$D$1:$E$7,2,0))</f>
        <v/>
      </c>
      <c r="IJ6" s="8" t="str">
        <f>IF(IJ$5="","",VLOOKUP(WEEKDAY(DATE($A$2,$A$3+$A$1-1,IJ5),2),Sheet3!$D$1:$E$7,2,0))</f>
        <v/>
      </c>
      <c r="IK6" s="8" t="str">
        <f>IF(IK$5="","",VLOOKUP(WEEKDAY(DATE($A$2,$A$3+$A$1-1,IK5),2),Sheet3!$D$1:$E$7,2,0))</f>
        <v/>
      </c>
      <c r="IL6" s="8" t="str">
        <f>IF(IL$5="","",VLOOKUP(WEEKDAY(DATE($A$2,$A$3+$A$1-1,IL5),2),Sheet3!$D$1:$E$7,2,0))</f>
        <v/>
      </c>
      <c r="IM6" s="8" t="str">
        <f>IF(IM$5="","",VLOOKUP(WEEKDAY(DATE($A$2,$A$3+$A$1-1,IM5),2),Sheet3!$D$1:$E$7,2,0))</f>
        <v/>
      </c>
      <c r="IN6" s="8" t="str">
        <f>IF(IN$5="","",VLOOKUP(WEEKDAY(DATE($A$2,$A$3+$A$1-1,IN5),2),Sheet3!$D$1:$E$7,2,0))</f>
        <v/>
      </c>
      <c r="IO6" s="8" t="str">
        <f>IF(IO$5="","",VLOOKUP(WEEKDAY(DATE($A$2,$A$3+$A$1-1,IO5),2),Sheet3!$D$1:$E$7,2,0))</f>
        <v/>
      </c>
      <c r="IP6" s="8" t="str">
        <f>IF(IP$5="","",VLOOKUP(WEEKDAY(DATE($A$2,$A$3+$A$1-1,IP5),2),Sheet3!$D$1:$E$7,2,0))</f>
        <v/>
      </c>
      <c r="IQ6" s="8" t="str">
        <f>IF(IQ$5="","",VLOOKUP(WEEKDAY(DATE($A$2,$A$3+$A$1-1,IQ5),2),Sheet3!$D$1:$E$7,2,0))</f>
        <v/>
      </c>
      <c r="IR6" s="8" t="str">
        <f>IF(IR$5="","",VLOOKUP(WEEKDAY(DATE($A$2,$A$3+$A$1-1,IR5),2),Sheet3!$D$1:$E$7,2,0))</f>
        <v/>
      </c>
      <c r="IS6" s="8" t="str">
        <f>IF(IS$5="","",VLOOKUP(WEEKDAY(DATE($A$2,$A$3+$A$1-1,IS5),2),Sheet3!$D$1:$E$7,2,0))</f>
        <v/>
      </c>
      <c r="IT6" s="8" t="str">
        <f>IF(IT$5="","",VLOOKUP(WEEKDAY(DATE($A$2,$A$3+$A$1-1,IT5),2),Sheet3!$D$1:$E$7,2,0))</f>
        <v/>
      </c>
      <c r="IU6" s="8" t="str">
        <f>IF(IU$5="","",VLOOKUP(WEEKDAY(DATE($A$2,$A$3+$A$1-1,IU5),2),Sheet3!$D$1:$E$7,2,0))</f>
        <v/>
      </c>
      <c r="IV6" s="8" t="str">
        <f>IF(IV$5="","",VLOOKUP(WEEKDAY(DATE($A$2,$A$3+$A$1-1,IV5),2),Sheet3!$D$1:$E$7,2,0))</f>
        <v/>
      </c>
      <c r="IW6" s="8" t="str">
        <f>IF(IW$5="","",VLOOKUP(WEEKDAY(DATE($A$2,$A$3+$A$1-1,IW5),2),Sheet3!$D$1:$E$7,2,0))</f>
        <v/>
      </c>
      <c r="IX6" s="8" t="str">
        <f>IF(IX$5="","",VLOOKUP(WEEKDAY(DATE($A$2,$A$3+$A$1-1,IX5),2),Sheet3!$D$1:$E$7,2,0))</f>
        <v/>
      </c>
      <c r="IY6" s="8" t="str">
        <f>IF(IY$5="","",VLOOKUP(WEEKDAY(DATE($A$2,$A$3+$A$1-1,IY5),2),Sheet3!$D$1:$E$7,2,0))</f>
        <v/>
      </c>
      <c r="IZ6" s="8" t="str">
        <f>IF(IZ$5="","",VLOOKUP(WEEKDAY(DATE($A$2,$A$3+$A$1-1,IZ5),2),Sheet3!$D$1:$E$7,2,0))</f>
        <v/>
      </c>
      <c r="JA6" s="8" t="str">
        <f>IF(JA$5="","",VLOOKUP(WEEKDAY(DATE($A$2,$A$3+$A$1-1,JA5),2),Sheet3!$D$1:$E$7,2,0))</f>
        <v/>
      </c>
      <c r="JB6" s="8" t="str">
        <f>IF(JB$5="","",VLOOKUP(WEEKDAY(DATE($A$2,$A$3+$A$1-1,JB5),2),Sheet3!$D$1:$E$7,2,0))</f>
        <v/>
      </c>
      <c r="JC6" s="8" t="str">
        <f>IF(JC$5="","",VLOOKUP(WEEKDAY(DATE($A$2,$A$3+$A$1-1,JC5),2),Sheet3!$D$1:$E$7,2,0))</f>
        <v/>
      </c>
      <c r="JD6" s="8" t="str">
        <f>IF(JD$5="","",VLOOKUP(WEEKDAY(DATE($A$2,$A$3+$A$1-1,JD5),2),Sheet3!$D$1:$E$7,2,0))</f>
        <v/>
      </c>
      <c r="JE6" s="8" t="str">
        <f>IF(JE$5="","",VLOOKUP(WEEKDAY(DATE($A$2,$A$3+$A$1-1,JE5),2),Sheet3!$D$1:$E$7,2,0))</f>
        <v/>
      </c>
      <c r="JF6" s="8" t="str">
        <f>IF(JF$5="","",VLOOKUP(WEEKDAY(DATE($A$2,$A$3+$A$1-1,JF5),2),Sheet3!$D$1:$E$7,2,0))</f>
        <v/>
      </c>
      <c r="JG6" s="8" t="str">
        <f>IF(JG$5="","",VLOOKUP(WEEKDAY(DATE($A$2,$A$3+$A$1-1,JG5),2),Sheet3!$D$1:$E$7,2,0))</f>
        <v/>
      </c>
      <c r="JH6" s="8" t="str">
        <f>IF(JH$5="","",VLOOKUP(WEEKDAY(DATE($A$2,$A$3+$A$1-1,JH5),2),Sheet3!$D$1:$E$7,2,0))</f>
        <v/>
      </c>
      <c r="JI6" s="8" t="str">
        <f>IF(JI$5="","",VLOOKUP(WEEKDAY(DATE($A$2,$A$3+$A$1-1,JI5),2),Sheet3!$D$1:$E$7,2,0))</f>
        <v/>
      </c>
      <c r="JJ6" s="8" t="str">
        <f>IF(JJ$5="","",VLOOKUP(WEEKDAY(DATE($A$2,$A$3+$A$1-1,JJ5),2),Sheet3!$D$1:$E$7,2,0))</f>
        <v/>
      </c>
      <c r="JK6" s="8" t="str">
        <f>IF(JK$5="","",VLOOKUP(WEEKDAY(DATE($A$2,$A$3+$A$1-1,JK5),2),Sheet3!$D$1:$E$7,2,0))</f>
        <v/>
      </c>
      <c r="JL6" s="8" t="str">
        <f>IF(JL$5="","",VLOOKUP(WEEKDAY(DATE($A$2,$A$3+$A$1-1,JL5),2),Sheet3!$D$1:$E$7,2,0))</f>
        <v/>
      </c>
      <c r="JM6" s="8" t="str">
        <f>IF(JM$5="","",VLOOKUP(WEEKDAY(DATE($A$2,$A$3+$A$1-1,JM5),2),Sheet3!$D$1:$E$7,2,0))</f>
        <v/>
      </c>
      <c r="JN6" s="8" t="str">
        <f>IF(JN$5="","",VLOOKUP(WEEKDAY(DATE($A$2,$A$3+$A$1-1,JN5),2),Sheet3!$D$1:$E$7,2,0))</f>
        <v/>
      </c>
      <c r="JO6" s="8" t="str">
        <f>IF(JO$5="","",VLOOKUP(WEEKDAY(DATE($A$2,$A$3+$A$1-1,JO5),2),Sheet3!$D$1:$E$7,2,0))</f>
        <v/>
      </c>
      <c r="JP6" s="8" t="str">
        <f>IF(JP$5="","",VLOOKUP(WEEKDAY(DATE($A$2,$A$3+$A$1-1,JP5),2),Sheet3!$D$1:$E$7,2,0))</f>
        <v/>
      </c>
      <c r="JQ6" s="8" t="str">
        <f>IF(JQ$5="","",VLOOKUP(WEEKDAY(DATE($A$2,$A$3+$A$1-1,JQ5),2),Sheet3!$D$1:$E$7,2,0))</f>
        <v/>
      </c>
      <c r="JR6" s="8" t="str">
        <f>IF(JR$5="","",VLOOKUP(WEEKDAY(DATE($A$2,$A$3+$A$1-1,JR5),2),Sheet3!$D$1:$E$7,2,0))</f>
        <v/>
      </c>
      <c r="JS6" s="8" t="str">
        <f>IF(JS$5="","",VLOOKUP(WEEKDAY(DATE($A$2,$A$3+$A$1-1,JS5),2),Sheet3!$D$1:$E$7,2,0))</f>
        <v/>
      </c>
      <c r="JT6" s="8" t="str">
        <f>IF(JT$5="","",VLOOKUP(WEEKDAY(DATE($A$2,$A$3+$A$1-1,JT5),2),Sheet3!$D$1:$E$7,2,0))</f>
        <v/>
      </c>
      <c r="JU6" s="8" t="str">
        <f>IF(JU$5="","",VLOOKUP(WEEKDAY(DATE($A$2,$A$3+$A$1-1,JU5),2),Sheet3!$D$1:$E$7,2,0))</f>
        <v/>
      </c>
      <c r="JV6" s="8" t="str">
        <f>IF(JV$5="","",VLOOKUP(WEEKDAY(DATE($A$2,$A$3+$A$1-1,JV5),2),Sheet3!$D$1:$E$7,2,0))</f>
        <v/>
      </c>
      <c r="JW6" s="8" t="str">
        <f>IF(JW$5="","",VLOOKUP(WEEKDAY(DATE($A$2,$A$3+$A$1-1,JW5),2),Sheet3!$D$1:$E$7,2,0))</f>
        <v/>
      </c>
      <c r="JX6" s="8" t="str">
        <f>IF(JX$5="","",VLOOKUP(WEEKDAY(DATE($A$2,$A$3+$A$1-1,JX5),2),Sheet3!$D$1:$E$7,2,0))</f>
        <v/>
      </c>
      <c r="JY6" s="8" t="str">
        <f>IF(JY$5="","",VLOOKUP(WEEKDAY(DATE($A$2,$A$3+$A$1-1,JY5),2),Sheet3!$D$1:$E$7,2,0))</f>
        <v/>
      </c>
      <c r="JZ6" s="8" t="str">
        <f>IF(JZ$5="","",VLOOKUP(WEEKDAY(DATE($A$2,$A$3+$A$1-1,JZ5),2),Sheet3!$D$1:$E$7,2,0))</f>
        <v/>
      </c>
      <c r="KA6" s="8" t="str">
        <f>IF(KA$5="","",VLOOKUP(WEEKDAY(DATE($A$2,$A$3+$A$1-1,KA5),2),Sheet3!$D$1:$E$7,2,0))</f>
        <v/>
      </c>
      <c r="KB6" s="8" t="str">
        <f>IF(KB$5="","",VLOOKUP(WEEKDAY(DATE($A$2,$A$3+$A$1-1,KB5),2),Sheet3!$D$1:$E$7,2,0))</f>
        <v/>
      </c>
      <c r="KC6" s="8" t="str">
        <f>IF(KC$5="","",VLOOKUP(WEEKDAY(DATE($A$2,$A$3+$A$1-1,KC5),2),Sheet3!$D$1:$E$7,2,0))</f>
        <v/>
      </c>
      <c r="KD6" s="8" t="str">
        <f>IF(KD$5="","",VLOOKUP(WEEKDAY(DATE($A$2,$A$3+$A$1-1,KD5),2),Sheet3!$D$1:$E$7,2,0))</f>
        <v/>
      </c>
      <c r="KE6" s="8" t="str">
        <f>IF(KE$5="","",VLOOKUP(WEEKDAY(DATE($A$2,$A$3+$A$1-1,KE5),2),Sheet3!$D$1:$E$7,2,0))</f>
        <v/>
      </c>
      <c r="KF6" s="8" t="str">
        <f>IF(KF$5="","",VLOOKUP(WEEKDAY(DATE($A$2,$A$3+$A$1-1,KF5),2),Sheet3!$D$1:$E$7,2,0))</f>
        <v/>
      </c>
      <c r="KG6" s="8" t="str">
        <f>IF(KG$5="","",VLOOKUP(WEEKDAY(DATE($A$2,$A$3+$A$1-1,KG5),2),Sheet3!$D$1:$E$7,2,0))</f>
        <v/>
      </c>
      <c r="KH6" s="8" t="str">
        <f>IF(KH$5="","",VLOOKUP(WEEKDAY(DATE($A$2,$A$3+$A$1-1,KH5),2),Sheet3!$D$1:$E$7,2,0))</f>
        <v/>
      </c>
      <c r="KI6" s="8" t="str">
        <f>IF(KI$5="","",VLOOKUP(WEEKDAY(DATE($A$2,$A$3+$A$1-1,KI5),2),Sheet3!$D$1:$E$7,2,0))</f>
        <v/>
      </c>
      <c r="KJ6" s="8" t="str">
        <f>IF(KJ$5="","",VLOOKUP(WEEKDAY(DATE($A$2,$A$3+$A$1-1,KJ5),2),Sheet3!$D$1:$E$7,2,0))</f>
        <v/>
      </c>
      <c r="KK6" s="8" t="str">
        <f>IF(KK$5="","",VLOOKUP(WEEKDAY(DATE($A$2,$A$3+$A$1-1,KK5),2),Sheet3!$D$1:$E$7,2,0))</f>
        <v/>
      </c>
      <c r="KL6" s="8" t="str">
        <f>IF(KL$5="","",VLOOKUP(WEEKDAY(DATE($A$2,$A$3+$A$1-1,KL5),2),Sheet3!$D$1:$E$7,2,0))</f>
        <v/>
      </c>
      <c r="KM6" s="8" t="str">
        <f>IF(KM$5="","",VLOOKUP(WEEKDAY(DATE($A$2,$A$3+$A$1-1,KM5),2),Sheet3!$D$1:$E$7,2,0))</f>
        <v/>
      </c>
      <c r="KN6" s="8" t="str">
        <f>IF(KN$5="","",VLOOKUP(WEEKDAY(DATE($A$2,$A$3+$A$1-1,KN5),2),Sheet3!$D$1:$E$7,2,0))</f>
        <v/>
      </c>
      <c r="KO6" s="8" t="str">
        <f>IF(KO$5="","",VLOOKUP(WEEKDAY(DATE($A$2,$A$3+$A$1-1,KO5),2),Sheet3!$D$1:$E$7,2,0))</f>
        <v/>
      </c>
      <c r="KP6" s="8" t="str">
        <f>IF(KP$5="","",VLOOKUP(WEEKDAY(DATE($A$2,$A$3+$A$1-1,KP5),2),Sheet3!$D$1:$E$7,2,0))</f>
        <v/>
      </c>
      <c r="KQ6" s="8" t="str">
        <f>IF(KQ$5="","",VLOOKUP(WEEKDAY(DATE($A$2,$A$3+$A$1-1,KQ5),2),Sheet3!$D$1:$E$7,2,0))</f>
        <v/>
      </c>
      <c r="KR6" s="8" t="str">
        <f>IF(KR$5="","",VLOOKUP(WEEKDAY(DATE($A$2,$A$3+$A$1-1,KR5),2),Sheet3!$D$1:$E$7,2,0))</f>
        <v/>
      </c>
      <c r="KS6" s="8" t="str">
        <f>IF(KS$5="","",VLOOKUP(WEEKDAY(DATE($A$2,$A$3+$A$1-1,KS5),2),Sheet3!$D$1:$E$7,2,0))</f>
        <v/>
      </c>
      <c r="KT6" s="8" t="str">
        <f>IF(KT$5="","",VLOOKUP(WEEKDAY(DATE($A$2,$A$3+$A$1-1,KT5),2),Sheet3!$D$1:$E$7,2,0))</f>
        <v/>
      </c>
      <c r="KU6" s="8" t="str">
        <f>IF(KU$5="","",VLOOKUP(WEEKDAY(DATE($A$2,$A$3+$A$1-1,KU5),2),Sheet3!$D$1:$E$7,2,0))</f>
        <v/>
      </c>
      <c r="KV6" s="8" t="str">
        <f>IF(KV$5="","",VLOOKUP(WEEKDAY(DATE($A$2,$A$3+$A$1-1,KV5),2),Sheet3!$D$1:$E$7,2,0))</f>
        <v/>
      </c>
      <c r="KW6" s="8" t="str">
        <f>IF(KW$5="","",VLOOKUP(WEEKDAY(DATE($A$2,$A$3+$A$1-1,KW5),2),Sheet3!$D$1:$E$7,2,0))</f>
        <v/>
      </c>
      <c r="KX6" s="8" t="str">
        <f>IF(KX$5="","",VLOOKUP(WEEKDAY(DATE($A$2,$A$3+$A$1-1,KX5),2),Sheet3!$D$1:$E$7,2,0))</f>
        <v/>
      </c>
      <c r="KY6" s="8" t="str">
        <f>IF(KY$5="","",VLOOKUP(WEEKDAY(DATE($A$2,$A$3+$A$1-1,KY5),2),Sheet3!$D$1:$E$7,2,0))</f>
        <v/>
      </c>
      <c r="KZ6" s="8" t="str">
        <f>IF(KZ$5="","",VLOOKUP(WEEKDAY(DATE($A$2,$A$3+$A$1-1,KZ5),2),Sheet3!$D$1:$E$7,2,0))</f>
        <v/>
      </c>
      <c r="LA6" s="8" t="str">
        <f>IF(LA$5="","",VLOOKUP(WEEKDAY(DATE($A$2,$A$3+$A$1-1,LA5),2),Sheet3!$D$1:$E$7,2,0))</f>
        <v/>
      </c>
      <c r="LB6" s="8" t="str">
        <f>IF(LB$5="","",VLOOKUP(WEEKDAY(DATE($A$2,$A$3+$A$1-1,LB5),2),Sheet3!$D$1:$E$7,2,0))</f>
        <v/>
      </c>
      <c r="LC6" s="8" t="str">
        <f>IF(LC$5="","",VLOOKUP(WEEKDAY(DATE($A$2,$A$3+$A$1-1,LC5),2),Sheet3!$D$1:$E$7,2,0))</f>
        <v/>
      </c>
      <c r="LD6" s="8" t="str">
        <f>IF(LD$5="","",VLOOKUP(WEEKDAY(DATE($A$2,$A$3+$A$1-1,LD5),2),Sheet3!$D$1:$E$7,2,0))</f>
        <v/>
      </c>
      <c r="LE6" s="8" t="str">
        <f>IF(LE$5="","",VLOOKUP(WEEKDAY(DATE($A$2,$A$3+$A$1-1,LE5),2),Sheet3!$D$1:$E$7,2,0))</f>
        <v/>
      </c>
      <c r="LF6" s="8" t="str">
        <f>IF(LF$5="","",VLOOKUP(WEEKDAY(DATE($A$2,$A$3+$A$1-1,LF5),2),Sheet3!$D$1:$E$7,2,0))</f>
        <v/>
      </c>
      <c r="LG6" s="8" t="str">
        <f>IF(LG$5="","",VLOOKUP(WEEKDAY(DATE($A$2,$A$3+$A$1-1,LG5),2),Sheet3!$D$1:$E$7,2,0))</f>
        <v/>
      </c>
      <c r="LH6" s="8" t="str">
        <f>IF(LH$5="","",VLOOKUP(WEEKDAY(DATE($A$2,$A$3+$A$1-1,LH5),2),Sheet3!$D$1:$E$7,2,0))</f>
        <v/>
      </c>
      <c r="LI6" s="8" t="str">
        <f>IF(LI$5="","",VLOOKUP(WEEKDAY(DATE($A$2,$A$3+$A$1-1,LI5),2),Sheet3!$D$1:$E$7,2,0))</f>
        <v/>
      </c>
      <c r="LJ6" s="8" t="str">
        <f>IF(LJ$5="","",VLOOKUP(WEEKDAY(DATE($A$2,$A$3+$A$1-1,LJ5),2),Sheet3!$D$1:$E$7,2,0))</f>
        <v/>
      </c>
      <c r="LK6" s="8" t="str">
        <f>IF(LK$5="","",VLOOKUP(WEEKDAY(DATE($A$2,$A$3+$A$1-1,LK5),2),Sheet3!$D$1:$E$7,2,0))</f>
        <v/>
      </c>
      <c r="LL6" s="8" t="str">
        <f>IF(LL$5="","",VLOOKUP(WEEKDAY(DATE($A$2,$A$3+$A$1-1,LL5),2),Sheet3!$D$1:$E$7,2,0))</f>
        <v/>
      </c>
      <c r="LM6" s="8" t="str">
        <f>IF(LM$5="","",VLOOKUP(WEEKDAY(DATE($A$2,$A$3+$A$1-1,LM5),2),Sheet3!$D$1:$E$7,2,0))</f>
        <v/>
      </c>
      <c r="LN6" s="8" t="str">
        <f>IF(LN$5="","",VLOOKUP(WEEKDAY(DATE($A$2,$A$3+$A$1-1,LN5),2),Sheet3!$D$1:$E$7,2,0))</f>
        <v/>
      </c>
      <c r="LO6" s="8" t="str">
        <f>IF(LO$5="","",VLOOKUP(WEEKDAY(DATE($A$2,$A$3+$A$1-1,LO5),2),Sheet3!$D$1:$E$7,2,0))</f>
        <v/>
      </c>
      <c r="LP6" s="8" t="str">
        <f>IF(LP$5="","",VLOOKUP(WEEKDAY(DATE($A$2,$A$3+$A$1-1,LP5),2),Sheet3!$D$1:$E$7,2,0))</f>
        <v/>
      </c>
      <c r="LQ6" s="8" t="str">
        <f>IF(LQ$5="","",VLOOKUP(WEEKDAY(DATE($A$2,$A$3+$A$1-1,LQ5),2),Sheet3!$D$1:$E$7,2,0))</f>
        <v/>
      </c>
      <c r="LR6" s="8" t="str">
        <f>IF(LR$5="","",VLOOKUP(WEEKDAY(DATE($A$2,$A$3+$A$1-1,LR5),2),Sheet3!$D$1:$E$7,2,0))</f>
        <v/>
      </c>
      <c r="LS6" s="8" t="str">
        <f>IF(LS$5="","",VLOOKUP(WEEKDAY(DATE($A$2,$A$3+$A$1-1,LS5),2),Sheet3!$D$1:$E$7,2,0))</f>
        <v/>
      </c>
      <c r="LT6" s="8" t="str">
        <f>IF(LT$5="","",VLOOKUP(WEEKDAY(DATE($A$2,$A$3+$A$1-1,LT5),2),Sheet3!$D$1:$E$7,2,0))</f>
        <v/>
      </c>
      <c r="LU6" s="8" t="str">
        <f>IF(LU$5="","",VLOOKUP(WEEKDAY(DATE($A$2,$A$3+$A$1-1,LU5),2),Sheet3!$D$1:$E$7,2,0))</f>
        <v/>
      </c>
      <c r="LV6" s="8" t="str">
        <f>IF(LV$5="","",VLOOKUP(WEEKDAY(DATE($A$2,$A$3+$A$1-1,LV5),2),Sheet3!$D$1:$E$7,2,0))</f>
        <v/>
      </c>
      <c r="LW6" s="8" t="str">
        <f>IF(LW$5="","",VLOOKUP(WEEKDAY(DATE($A$2,$A$3+$A$1-1,LW5),2),Sheet3!$D$1:$E$7,2,0))</f>
        <v/>
      </c>
      <c r="LX6" s="8" t="str">
        <f>IF(LX$5="","",VLOOKUP(WEEKDAY(DATE($A$2,$A$3+$A$1-1,LX5),2),Sheet3!$D$1:$E$7,2,0))</f>
        <v/>
      </c>
      <c r="LY6" s="8" t="str">
        <f>IF(LY$5="","",VLOOKUP(WEEKDAY(DATE($A$2,$A$3+$A$1-1,LY5),2),Sheet3!$D$1:$E$7,2,0))</f>
        <v/>
      </c>
      <c r="LZ6" s="8" t="str">
        <f>IF(LZ$5="","",VLOOKUP(WEEKDAY(DATE($A$2,$A$3+$A$1-1,LZ5),2),Sheet3!$D$1:$E$7,2,0))</f>
        <v/>
      </c>
      <c r="MA6" s="8" t="str">
        <f>IF(MA$5="","",VLOOKUP(WEEKDAY(DATE($A$2,$A$3+$A$1-1,MA5),2),Sheet3!$D$1:$E$7,2,0))</f>
        <v/>
      </c>
      <c r="MB6" s="8" t="str">
        <f>IF(MB$5="","",VLOOKUP(WEEKDAY(DATE($A$2,$A$3+$A$1-1,MB5),2),Sheet3!$D$1:$E$7,2,0))</f>
        <v/>
      </c>
      <c r="MC6" s="8" t="str">
        <f>IF(MC$5="","",VLOOKUP(WEEKDAY(DATE($A$2,$A$3+$A$1-1,MC5),2),Sheet3!$D$1:$E$7,2,0))</f>
        <v/>
      </c>
      <c r="MD6" s="8" t="str">
        <f>IF(MD$5="","",VLOOKUP(WEEKDAY(DATE($A$2,$A$3+$A$1-1,MD5),2),Sheet3!$D$1:$E$7,2,0))</f>
        <v/>
      </c>
      <c r="ME6" s="8" t="str">
        <f>IF(ME$5="","",VLOOKUP(WEEKDAY(DATE($A$2,$A$3+$A$1-1,ME5),2),Sheet3!$D$1:$E$7,2,0))</f>
        <v>Mon</v>
      </c>
      <c r="MF6" s="8" t="str">
        <f>IF(MF$5="","",VLOOKUP(WEEKDAY(DATE($A$2,$A$3+$A$1-1,MF5),2),Sheet3!$D$1:$E$7,2,0))</f>
        <v>Tue</v>
      </c>
      <c r="MG6" s="8" t="str">
        <f>IF(MG$5="","",VLOOKUP(WEEKDAY(DATE($A$2,$A$3+$A$1-1,MG5),2),Sheet3!$D$1:$E$7,2,0))</f>
        <v>Wed</v>
      </c>
      <c r="MH6" s="8" t="str">
        <f>IF(MH$5="","",VLOOKUP(WEEKDAY(DATE($A$2,$A$3+$A$1-1,MH5),2),Sheet3!$D$1:$E$7,2,0))</f>
        <v>Thu</v>
      </c>
      <c r="MI6" s="8" t="str">
        <f>IF(MI$5="","",VLOOKUP(WEEKDAY(DATE($A$2,$A$3+$A$1-1,MI5),2),Sheet3!$D$1:$E$7,2,0))</f>
        <v>Fri</v>
      </c>
      <c r="MJ6" s="8" t="str">
        <f>IF(MJ$5="","",VLOOKUP(WEEKDAY(DATE($A$2,$A$3+$A$1-1,MJ5),2),Sheet3!$D$1:$E$7,2,0))</f>
        <v>Sat</v>
      </c>
      <c r="MK6" s="8" t="str">
        <f>IF(MK$5="","",VLOOKUP(WEEKDAY(DATE($A$2,$A$3+$A$1-1,MK5),2),Sheet3!$D$1:$E$7,2,0))</f>
        <v>Sun</v>
      </c>
      <c r="ML6" s="8" t="str">
        <f>IF(ML$5="","",VLOOKUP(WEEKDAY(DATE($A$2,$A$3+$A$1-1,ML5),2),Sheet3!$D$1:$E$7,2,0))</f>
        <v>Mon</v>
      </c>
      <c r="MM6" s="8" t="str">
        <f>IF(MM$5="","",VLOOKUP(WEEKDAY(DATE($A$2,$A$3+$A$1-1,MM5),2),Sheet3!$D$1:$E$7,2,0))</f>
        <v>Tue</v>
      </c>
      <c r="MN6" s="8" t="str">
        <f>IF(MN$5="","",VLOOKUP(WEEKDAY(DATE($A$2,$A$3+$A$1-1,MN5),2),Sheet3!$D$1:$E$7,2,0))</f>
        <v>Wed</v>
      </c>
      <c r="MO6" s="8" t="str">
        <f>IF(MO$5="","",VLOOKUP(WEEKDAY(DATE($A$2,$A$3+$A$1-1,MO5),2),Sheet3!$D$1:$E$7,2,0))</f>
        <v>Thu</v>
      </c>
      <c r="MP6" s="8" t="str">
        <f>IF(MP$5="","",VLOOKUP(WEEKDAY(DATE($A$2,$A$3+$A$1-1,MP5),2),Sheet3!$D$1:$E$7,2,0))</f>
        <v>Fri</v>
      </c>
      <c r="MQ6" s="8" t="str">
        <f>IF(MQ$5="","",VLOOKUP(WEEKDAY(DATE($A$2,$A$3+$A$1-1,MQ5),2),Sheet3!$D$1:$E$7,2,0))</f>
        <v>Sat</v>
      </c>
      <c r="MR6" s="8" t="str">
        <f>IF(MR$5="","",VLOOKUP(WEEKDAY(DATE($A$2,$A$3+$A$1-1,MR5),2),Sheet3!$D$1:$E$7,2,0))</f>
        <v>Sun</v>
      </c>
      <c r="MS6" s="8" t="str">
        <f>IF(MS$5="","",VLOOKUP(WEEKDAY(DATE($A$2,$A$3+$A$1-1,MS5),2),Sheet3!$D$1:$E$7,2,0))</f>
        <v>Mon</v>
      </c>
      <c r="MT6" s="8" t="str">
        <f>IF(MT$5="","",VLOOKUP(WEEKDAY(DATE($A$2,$A$3+$A$1-1,MT5),2),Sheet3!$D$1:$E$7,2,0))</f>
        <v>Tue</v>
      </c>
      <c r="MU6" s="8" t="str">
        <f>IF(MU$5="","",VLOOKUP(WEEKDAY(DATE($A$2,$A$3+$A$1-1,MU5),2),Sheet3!$D$1:$E$7,2,0))</f>
        <v>Wed</v>
      </c>
      <c r="MV6" s="8" t="str">
        <f>IF(MV$5="","",VLOOKUP(WEEKDAY(DATE($A$2,$A$3+$A$1-1,MV5),2),Sheet3!$D$1:$E$7,2,0))</f>
        <v>Thu</v>
      </c>
      <c r="MW6" s="8" t="str">
        <f>IF(MW$5="","",VLOOKUP(WEEKDAY(DATE($A$2,$A$3+$A$1-1,MW5),2),Sheet3!$D$1:$E$7,2,0))</f>
        <v>Fri</v>
      </c>
      <c r="MX6" s="8" t="str">
        <f>IF(MX$5="","",VLOOKUP(WEEKDAY(DATE($A$2,$A$3+$A$1-1,MX5),2),Sheet3!$D$1:$E$7,2,0))</f>
        <v>Sat</v>
      </c>
      <c r="MY6" s="8" t="str">
        <f>IF(MY$5="","",VLOOKUP(WEEKDAY(DATE($A$2,$A$3+$A$1-1,MY5),2),Sheet3!$D$1:$E$7,2,0))</f>
        <v>Sun</v>
      </c>
      <c r="MZ6" s="8" t="str">
        <f>IF(MZ$5="","",VLOOKUP(WEEKDAY(DATE($A$2,$A$3+$A$1-1,MZ5),2),Sheet3!$D$1:$E$7,2,0))</f>
        <v>Mon</v>
      </c>
      <c r="NA6" s="8" t="str">
        <f>IF(NA$5="","",VLOOKUP(WEEKDAY(DATE($A$2,$A$3+$A$1-1,NA5),2),Sheet3!$D$1:$E$7,2,0))</f>
        <v>Tue</v>
      </c>
      <c r="NB6" s="8" t="str">
        <f>IF(NB$5="","",VLOOKUP(WEEKDAY(DATE($A$2,$A$3+$A$1-1,NB5),2),Sheet3!$D$1:$E$7,2,0))</f>
        <v>Wed</v>
      </c>
      <c r="NC6" s="8" t="str">
        <f>IF(NC$5="","",VLOOKUP(WEEKDAY(DATE($A$2,$A$3+$A$1-1,NC5),2),Sheet3!$D$1:$E$7,2,0))</f>
        <v>Thu</v>
      </c>
      <c r="ND6" s="8" t="str">
        <f>IF(ND$5="","",VLOOKUP(WEEKDAY(DATE($A$2,$A$3+$A$1-1,ND5),2),Sheet3!$D$1:$E$7,2,0))</f>
        <v>Fri</v>
      </c>
      <c r="NE6" s="8" t="str">
        <f>IF(NE$5="","",VLOOKUP(WEEKDAY(DATE($A$2,$A$3+$A$1-1,NE5),2),Sheet3!$D$1:$E$7,2,0))</f>
        <v>Sat</v>
      </c>
      <c r="NF6" s="8" t="str">
        <f>IF(NF$5="","",VLOOKUP(WEEKDAY(DATE($A$2,$A$3+$A$1-1,NF5),2),Sheet3!$D$1:$E$7,2,0))</f>
        <v>Sun</v>
      </c>
      <c r="NG6" s="8" t="str">
        <f>IF(NG$5="","",VLOOKUP(WEEKDAY(DATE($A$2,$A$3+$A$1-1,NG5),2),Sheet3!$D$1:$E$7,2,0))</f>
        <v>Mon</v>
      </c>
      <c r="NH6" s="8" t="str">
        <f>IF(NH$5="","",VLOOKUP(WEEKDAY(DATE($A$2,$A$3+$A$1-1,NH5),2),Sheet3!$D$1:$E$7,2,0))</f>
        <v>Tue</v>
      </c>
      <c r="NI6" s="8" t="str">
        <f>IF(NI$5="","",VLOOKUP(WEEKDAY(DATE($A$2,$A$3+$A$1-1,NI5),2),Sheet3!$D$1:$E$7,2,0))</f>
        <v>Wed</v>
      </c>
      <c r="NJ6" s="8" t="str">
        <f>IF(NJ$5="","",VLOOKUP(WEEKDAY(DATE($A$2,$A$3+$A$1-1,NJ5),2),Sheet3!$D$1:$E$7,2,0))</f>
        <v/>
      </c>
      <c r="NK6" s="37"/>
      <c r="NL6" s="35"/>
      <c r="NM6" s="35"/>
      <c r="NN6" s="35"/>
      <c r="NO6" s="35"/>
      <c r="NP6" s="34"/>
      <c r="NQ6" s="34"/>
      <c r="NR6" s="34"/>
      <c r="NS6" s="34"/>
      <c r="NT6" s="34"/>
      <c r="NU6" s="34"/>
      <c r="NW6" s="26" t="s">
        <v>29</v>
      </c>
      <c r="NX6" s="26" t="s">
        <v>38</v>
      </c>
    </row>
    <row r="7" spans="1:761" x14ac:dyDescent="0.25">
      <c r="A7" s="3" t="s">
        <v>18</v>
      </c>
      <c r="B7" s="20" t="str">
        <f>IF(B$5="","",WEEKNUM(DATE($A$2,VLOOKUP($A$1,Sheet3!$A$1:$B$12,2,0),COLUMNS($A$6:A6)),2))</f>
        <v/>
      </c>
      <c r="C7" s="20" t="str">
        <f>IF(C$5="","",WEEKNUM(DATE($A$2,VLOOKUP($A$1,Sheet3!$A$1:$B$12,2,0),COLUMNS($A$6:B6)),2))</f>
        <v/>
      </c>
      <c r="D7" s="20" t="str">
        <f>IF(D$5="","",WEEKNUM(DATE($A$2,VLOOKUP($A$1,Sheet3!$A$1:$B$12,2,0),COLUMNS($A$6:C6)),2))</f>
        <v/>
      </c>
      <c r="E7" s="20" t="str">
        <f>IF(E$5="","",WEEKNUM(DATE($A$2,VLOOKUP($A$1,Sheet3!$A$1:$B$12,2,0),COLUMNS($A$6:D6)),2))</f>
        <v/>
      </c>
      <c r="F7" s="20" t="str">
        <f>IF(F$5="","",WEEKNUM(DATE($A$2,VLOOKUP($A$1,Sheet3!$A$1:$B$12,2,0),COLUMNS($A$6:E6)),2))</f>
        <v/>
      </c>
      <c r="G7" s="20" t="str">
        <f>IF(G$5="","",WEEKNUM(DATE($A$2,VLOOKUP($A$1,Sheet3!$A$1:$B$12,2,0),COLUMNS($A$6:F6)),2))</f>
        <v/>
      </c>
      <c r="H7" s="20" t="str">
        <f>IF(H$5="","",WEEKNUM(DATE($A$2,VLOOKUP($A$1,Sheet3!$A$1:$B$12,2,0),COLUMNS($A$6:G6)),2))</f>
        <v/>
      </c>
      <c r="I7" s="20" t="str">
        <f>IF(I$5="","",WEEKNUM(DATE($A$2,VLOOKUP($A$1,Sheet3!$A$1:$B$12,2,0),COLUMNS($A$6:H6)),2))</f>
        <v/>
      </c>
      <c r="J7" s="20" t="str">
        <f>IF(J$5="","",WEEKNUM(DATE($A$2,VLOOKUP($A$1,Sheet3!$A$1:$B$12,2,0),COLUMNS($A$6:I6)),2))</f>
        <v/>
      </c>
      <c r="K7" s="20" t="str">
        <f>IF(K$5="","",WEEKNUM(DATE($A$2,VLOOKUP($A$1,Sheet3!$A$1:$B$12,2,0),COLUMNS($A$6:J6)),2))</f>
        <v/>
      </c>
      <c r="L7" s="20" t="str">
        <f>IF(L$5="","",WEEKNUM(DATE($A$2,VLOOKUP($A$1,Sheet3!$A$1:$B$12,2,0),COLUMNS($A$6:K6)),2))</f>
        <v/>
      </c>
      <c r="M7" s="20" t="str">
        <f>IF(M$5="","",WEEKNUM(DATE($A$2,VLOOKUP($A$1,Sheet3!$A$1:$B$12,2,0),COLUMNS($A$6:L6)),2))</f>
        <v/>
      </c>
      <c r="N7" s="20" t="str">
        <f>IF(N$5="","",WEEKNUM(DATE($A$2,VLOOKUP($A$1,Sheet3!$A$1:$B$12,2,0),COLUMNS($A$6:M6)),2))</f>
        <v/>
      </c>
      <c r="O7" s="20" t="str">
        <f>IF(O$5="","",WEEKNUM(DATE($A$2,VLOOKUP($A$1,Sheet3!$A$1:$B$12,2,0),COLUMNS($A$6:N6)),2))</f>
        <v/>
      </c>
      <c r="P7" s="20" t="str">
        <f>IF(P$5="","",WEEKNUM(DATE($A$2,VLOOKUP($A$1,Sheet3!$A$1:$B$12,2,0),COLUMNS($A$6:O6)),2))</f>
        <v/>
      </c>
      <c r="Q7" s="20" t="str">
        <f>IF(Q$5="","",WEEKNUM(DATE($A$2,VLOOKUP($A$1,Sheet3!$A$1:$B$12,2,0),COLUMNS($A$6:P6)),2))</f>
        <v/>
      </c>
      <c r="R7" s="20" t="str">
        <f>IF(R$5="","",WEEKNUM(DATE($A$2,VLOOKUP($A$1,Sheet3!$A$1:$B$12,2,0),COLUMNS($A$6:Q6)),2))</f>
        <v/>
      </c>
      <c r="S7" s="20" t="str">
        <f>IF(S$5="","",WEEKNUM(DATE($A$2,VLOOKUP($A$1,Sheet3!$A$1:$B$12,2,0),COLUMNS($A$6:R6)),2))</f>
        <v/>
      </c>
      <c r="T7" s="20" t="str">
        <f>IF(T$5="","",WEEKNUM(DATE($A$2,VLOOKUP($A$1,Sheet3!$A$1:$B$12,2,0),COLUMNS($A$6:S6)),2))</f>
        <v/>
      </c>
      <c r="U7" s="20" t="str">
        <f>IF(U$5="","",WEEKNUM(DATE($A$2,VLOOKUP($A$1,Sheet3!$A$1:$B$12,2,0),COLUMNS($A$6:T6)),2))</f>
        <v/>
      </c>
      <c r="V7" s="20" t="str">
        <f>IF(V$5="","",WEEKNUM(DATE($A$2,VLOOKUP($A$1,Sheet3!$A$1:$B$12,2,0),COLUMNS($A$6:U6)),2))</f>
        <v/>
      </c>
      <c r="W7" s="20" t="str">
        <f>IF(W$5="","",WEEKNUM(DATE($A$2,VLOOKUP($A$1,Sheet3!$A$1:$B$12,2,0),COLUMNS($A$6:V6)),2))</f>
        <v/>
      </c>
      <c r="X7" s="20" t="str">
        <f>IF(X$5="","",WEEKNUM(DATE($A$2,VLOOKUP($A$1,Sheet3!$A$1:$B$12,2,0),COLUMNS($A$6:W6)),2))</f>
        <v/>
      </c>
      <c r="Y7" s="20" t="str">
        <f>IF(Y$5="","",WEEKNUM(DATE($A$2,VLOOKUP($A$1,Sheet3!$A$1:$B$12,2,0),COLUMNS($A$6:X6)),2))</f>
        <v/>
      </c>
      <c r="Z7" s="20" t="str">
        <f>IF(Z$5="","",WEEKNUM(DATE($A$2,VLOOKUP($A$1,Sheet3!$A$1:$B$12,2,0),COLUMNS($A$6:Y6)),2))</f>
        <v/>
      </c>
      <c r="AA7" s="20" t="str">
        <f>IF(AA$5="","",WEEKNUM(DATE($A$2,VLOOKUP($A$1,Sheet3!$A$1:$B$12,2,0),COLUMNS($A$6:Z6)),2))</f>
        <v/>
      </c>
      <c r="AB7" s="20" t="str">
        <f>IF(AB$5="","",WEEKNUM(DATE($A$2,VLOOKUP($A$1,Sheet3!$A$1:$B$12,2,0),COLUMNS($A$6:AA6)),2))</f>
        <v/>
      </c>
      <c r="AC7" s="20" t="str">
        <f>IF(AC$5="","",WEEKNUM(DATE($A$2,VLOOKUP($A$1,Sheet3!$A$1:$B$12,2,0),COLUMNS($A$6:AB6)),2))</f>
        <v/>
      </c>
      <c r="AD7" s="20" t="str">
        <f>IF(AD$5="","",WEEKNUM(DATE($A$2,VLOOKUP($A$1,Sheet3!$A$1:$B$12,2,0),COLUMNS($A$6:AC6)),2))</f>
        <v/>
      </c>
      <c r="AE7" s="20" t="str">
        <f>IF(AE$5="","",WEEKNUM(DATE($A$2,VLOOKUP($A$1,Sheet3!$A$1:$B$12,2,0),COLUMNS($A$6:AD6)),2))</f>
        <v/>
      </c>
      <c r="AF7" s="20" t="str">
        <f>IF(AF$5="","",WEEKNUM(DATE($A$2,VLOOKUP($A$1,Sheet3!$A$1:$B$12,2,0),COLUMNS($A$6:AE6)),2))</f>
        <v/>
      </c>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21"/>
      <c r="NL7" s="22"/>
      <c r="NM7" s="22"/>
      <c r="NN7" s="22"/>
      <c r="NO7" s="22"/>
      <c r="NP7" s="22"/>
      <c r="NQ7" s="22"/>
      <c r="NR7" s="22"/>
      <c r="NS7" s="22"/>
      <c r="NT7" s="22"/>
      <c r="NU7" s="22"/>
      <c r="NW7" s="1"/>
      <c r="NX7" s="1"/>
    </row>
    <row r="8" spans="1:761" x14ac:dyDescent="0.25">
      <c r="A8" s="1" t="s">
        <v>60</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t="s">
        <v>37</v>
      </c>
      <c r="MT8" s="1" t="s">
        <v>37</v>
      </c>
      <c r="MU8" s="1" t="s">
        <v>37</v>
      </c>
      <c r="MV8" s="1" t="s">
        <v>37</v>
      </c>
      <c r="MW8" s="1" t="s">
        <v>37</v>
      </c>
      <c r="MX8" s="1"/>
      <c r="MY8" s="1"/>
      <c r="MZ8" s="1"/>
      <c r="NA8" s="1"/>
      <c r="NB8" s="1"/>
      <c r="NC8" s="1"/>
      <c r="ND8" s="1"/>
      <c r="NE8" s="1"/>
      <c r="NF8" s="1"/>
      <c r="NG8" s="1"/>
      <c r="NH8" s="1"/>
      <c r="NI8" s="1"/>
      <c r="NJ8" s="1" t="s">
        <v>49</v>
      </c>
      <c r="NK8" s="18">
        <f t="array" aca="1" ref="NK8" ca="1">SUMPRODUCT((OFFSET($A8,0,1,1,372)&lt;&gt;"")*(IF(OFFSET($A8,0,1,1,372)=$NX$16,0.5,IF(OFFSET($A8,0,1,1,372)=$NX$17,0.5,1))*(OFFSET($A$3,0,1,1,372))))</f>
        <v>5</v>
      </c>
      <c r="NL8" s="23">
        <f t="shared" ref="NL8:NU17" ca="1" si="6">SUMPRODUCT((OFFSET($A8,0,1,1,372)&lt;&gt;"")*(OFFSET($A$3,0,1,1,372))*((OFFSET($A8,0,1,1,372))=NL$5))</f>
        <v>0</v>
      </c>
      <c r="NM8" s="23">
        <f t="shared" ca="1" si="6"/>
        <v>0</v>
      </c>
      <c r="NN8" s="23">
        <f t="shared" ca="1" si="6"/>
        <v>0</v>
      </c>
      <c r="NO8" s="23">
        <f t="shared" ca="1" si="6"/>
        <v>5</v>
      </c>
      <c r="NP8" s="23">
        <f t="shared" ca="1" si="6"/>
        <v>0</v>
      </c>
      <c r="NQ8" s="23">
        <f t="shared" ca="1" si="6"/>
        <v>0</v>
      </c>
      <c r="NR8" s="23">
        <f t="shared" ca="1" si="6"/>
        <v>0</v>
      </c>
      <c r="NS8" s="23">
        <f t="shared" ca="1" si="6"/>
        <v>0</v>
      </c>
      <c r="NT8" s="23">
        <f t="shared" ca="1" si="6"/>
        <v>0</v>
      </c>
      <c r="NU8" s="23">
        <f t="shared" ca="1" si="6"/>
        <v>0</v>
      </c>
      <c r="NW8" s="24" t="s">
        <v>50</v>
      </c>
      <c r="NX8" s="25" t="s">
        <v>49</v>
      </c>
    </row>
    <row r="9" spans="1:761" x14ac:dyDescent="0.25">
      <c r="A9" s="1" t="s">
        <v>61</v>
      </c>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32"/>
      <c r="DB9" s="32"/>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t="s">
        <v>37</v>
      </c>
      <c r="MT9" s="1" t="s">
        <v>37</v>
      </c>
      <c r="MU9" s="1" t="s">
        <v>37</v>
      </c>
      <c r="MV9" s="1" t="s">
        <v>37</v>
      </c>
      <c r="MW9" s="1" t="s">
        <v>37</v>
      </c>
      <c r="MX9" s="1"/>
      <c r="MY9" s="1"/>
      <c r="MZ9" s="1"/>
      <c r="NA9" s="1"/>
      <c r="NB9" s="1"/>
      <c r="NC9" s="1"/>
      <c r="ND9" s="1"/>
      <c r="NE9" s="1"/>
      <c r="NF9" s="1"/>
      <c r="NG9" s="1"/>
      <c r="NH9" s="1"/>
      <c r="NI9" s="1"/>
      <c r="NJ9" s="1"/>
      <c r="NK9" s="18">
        <f t="array" aca="1" ref="NK9" ca="1">SUMPRODUCT((OFFSET($A9,0,1,1,372)&lt;&gt;"")*(IF(OFFSET($A9,0,1,1,372)=$NX$16,0.5,IF(OFFSET($A9,0,1,1,372)=$NX$17,0.5,1))*(OFFSET($A$3,0,1,1,372))))</f>
        <v>5</v>
      </c>
      <c r="NL9" s="23">
        <f t="shared" ca="1" si="6"/>
        <v>0</v>
      </c>
      <c r="NM9" s="23">
        <f t="shared" ca="1" si="6"/>
        <v>0</v>
      </c>
      <c r="NN9" s="23">
        <f t="shared" ca="1" si="6"/>
        <v>0</v>
      </c>
      <c r="NO9" s="23">
        <f t="shared" ca="1" si="6"/>
        <v>5</v>
      </c>
      <c r="NP9" s="23">
        <f t="shared" ca="1" si="6"/>
        <v>0</v>
      </c>
      <c r="NQ9" s="23">
        <f t="shared" ca="1" si="6"/>
        <v>0</v>
      </c>
      <c r="NR9" s="23">
        <f t="shared" ca="1" si="6"/>
        <v>0</v>
      </c>
      <c r="NS9" s="23">
        <f t="shared" ca="1" si="6"/>
        <v>0</v>
      </c>
      <c r="NT9" s="23">
        <f t="shared" ca="1" si="6"/>
        <v>0</v>
      </c>
      <c r="NU9" s="23">
        <f t="shared" ca="1" si="6"/>
        <v>0</v>
      </c>
      <c r="NW9" s="24" t="s">
        <v>192</v>
      </c>
      <c r="NX9" s="25" t="s">
        <v>190</v>
      </c>
    </row>
    <row r="10" spans="1:761" x14ac:dyDescent="0.25">
      <c r="A10" s="1" t="s">
        <v>62</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c r="JZ10" s="1"/>
      <c r="KA10" s="1"/>
      <c r="KB10" s="1"/>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t="s">
        <v>37</v>
      </c>
      <c r="MT10" s="1" t="s">
        <v>37</v>
      </c>
      <c r="MU10" s="1" t="s">
        <v>37</v>
      </c>
      <c r="MV10" s="1" t="s">
        <v>37</v>
      </c>
      <c r="MW10" s="1" t="s">
        <v>37</v>
      </c>
      <c r="MX10" s="1"/>
      <c r="MY10" s="1"/>
      <c r="MZ10" s="1"/>
      <c r="NA10" s="1"/>
      <c r="NB10" s="1"/>
      <c r="NC10" s="1"/>
      <c r="ND10" s="1"/>
      <c r="NE10" s="1"/>
      <c r="NF10" s="1"/>
      <c r="NG10" s="1"/>
      <c r="NH10" s="1"/>
      <c r="NI10" s="1"/>
      <c r="NJ10" s="1"/>
      <c r="NK10" s="18">
        <f t="array" aca="1" ref="NK10" ca="1">SUMPRODUCT((OFFSET($A10,0,1,1,372)&lt;&gt;"")*(IF(OFFSET($A10,0,1,1,372)=$NX$16,0.5,IF(OFFSET($A10,0,1,1,372)=$NX$17,0.5,1))*(OFFSET($A$3,0,1,1,372))))</f>
        <v>5</v>
      </c>
      <c r="NL10" s="23">
        <f t="shared" ca="1" si="6"/>
        <v>0</v>
      </c>
      <c r="NM10" s="23">
        <f t="shared" ca="1" si="6"/>
        <v>0</v>
      </c>
      <c r="NN10" s="23">
        <f t="shared" ca="1" si="6"/>
        <v>0</v>
      </c>
      <c r="NO10" s="23">
        <f t="shared" ca="1" si="6"/>
        <v>5</v>
      </c>
      <c r="NP10" s="23">
        <f t="shared" ca="1" si="6"/>
        <v>0</v>
      </c>
      <c r="NQ10" s="23">
        <f t="shared" ca="1" si="6"/>
        <v>0</v>
      </c>
      <c r="NR10" s="23">
        <f t="shared" ca="1" si="6"/>
        <v>0</v>
      </c>
      <c r="NS10" s="23">
        <f t="shared" ca="1" si="6"/>
        <v>0</v>
      </c>
      <c r="NT10" s="23">
        <f t="shared" ca="1" si="6"/>
        <v>0</v>
      </c>
      <c r="NU10" s="23">
        <f t="shared" ca="1" si="6"/>
        <v>0</v>
      </c>
      <c r="NW10" s="16" t="s">
        <v>193</v>
      </c>
      <c r="NX10" s="25" t="s">
        <v>194</v>
      </c>
    </row>
    <row r="11" spans="1:761" x14ac:dyDescent="0.25">
      <c r="A11" s="1" t="s">
        <v>63</v>
      </c>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t="s">
        <v>37</v>
      </c>
      <c r="MT11" s="1" t="s">
        <v>37</v>
      </c>
      <c r="MU11" s="1" t="s">
        <v>37</v>
      </c>
      <c r="MV11" s="1" t="s">
        <v>37</v>
      </c>
      <c r="MW11" s="1" t="s">
        <v>37</v>
      </c>
      <c r="MX11" s="1"/>
      <c r="MY11" s="1"/>
      <c r="MZ11" s="1"/>
      <c r="NA11" s="1"/>
      <c r="NB11" s="1"/>
      <c r="NC11" s="1"/>
      <c r="ND11" s="1"/>
      <c r="NE11" s="1"/>
      <c r="NF11" s="1"/>
      <c r="NG11" s="1"/>
      <c r="NH11" s="1"/>
      <c r="NI11" s="1"/>
      <c r="NJ11" s="1"/>
      <c r="NK11" s="18">
        <f t="array" aca="1" ref="NK11" ca="1">SUMPRODUCT((OFFSET($A11,0,1,1,372)&lt;&gt;"")*(IF(OFFSET($A11,0,1,1,372)=$NX$16,0.5,IF(OFFSET($A11,0,1,1,372)=$NX$17,0.5,1))*(OFFSET($A$3,0,1,1,372))))</f>
        <v>5</v>
      </c>
      <c r="NL11" s="23">
        <f t="shared" ca="1" si="6"/>
        <v>0</v>
      </c>
      <c r="NM11" s="23">
        <f t="shared" ca="1" si="6"/>
        <v>0</v>
      </c>
      <c r="NN11" s="23">
        <f t="shared" ca="1" si="6"/>
        <v>0</v>
      </c>
      <c r="NO11" s="23">
        <f t="shared" ca="1" si="6"/>
        <v>5</v>
      </c>
      <c r="NP11" s="23">
        <f t="shared" ca="1" si="6"/>
        <v>0</v>
      </c>
      <c r="NQ11" s="23">
        <f t="shared" ca="1" si="6"/>
        <v>0</v>
      </c>
      <c r="NR11" s="23">
        <f t="shared" ca="1" si="6"/>
        <v>0</v>
      </c>
      <c r="NS11" s="23">
        <f t="shared" ca="1" si="6"/>
        <v>0</v>
      </c>
      <c r="NT11" s="23">
        <f t="shared" ca="1" si="6"/>
        <v>0</v>
      </c>
      <c r="NU11" s="23">
        <f t="shared" ca="1" si="6"/>
        <v>0</v>
      </c>
      <c r="NW11" s="16" t="s">
        <v>191</v>
      </c>
      <c r="NX11" s="25" t="s">
        <v>37</v>
      </c>
    </row>
    <row r="12" spans="1:761" x14ac:dyDescent="0.25">
      <c r="A12" s="1" t="s">
        <v>64</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c r="JN12" s="1"/>
      <c r="JO12" s="1"/>
      <c r="JP12" s="1"/>
      <c r="JQ12" s="1"/>
      <c r="JR12" s="1"/>
      <c r="JS12" s="1"/>
      <c r="JT12" s="1"/>
      <c r="JU12" s="1"/>
      <c r="JV12" s="1"/>
      <c r="JW12" s="1"/>
      <c r="JX12" s="1"/>
      <c r="JY12" s="1"/>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t="s">
        <v>37</v>
      </c>
      <c r="MT12" s="1" t="s">
        <v>37</v>
      </c>
      <c r="MU12" s="1" t="s">
        <v>37</v>
      </c>
      <c r="MV12" s="1" t="s">
        <v>37</v>
      </c>
      <c r="MW12" s="1" t="s">
        <v>190</v>
      </c>
      <c r="MX12" s="1"/>
      <c r="MY12" s="1"/>
      <c r="MZ12" s="1"/>
      <c r="NA12" s="1"/>
      <c r="NB12" s="1"/>
      <c r="NC12" s="1"/>
      <c r="ND12" s="1"/>
      <c r="NE12" s="1"/>
      <c r="NF12" s="1"/>
      <c r="NG12" s="1"/>
      <c r="NH12" s="1"/>
      <c r="NI12" s="1"/>
      <c r="NJ12" s="1"/>
      <c r="NK12" s="18">
        <f t="array" aca="1" ref="NK12" ca="1">SUMPRODUCT((OFFSET($A12,0,1,1,372)&lt;&gt;"")*(IF(OFFSET($A12,0,1,1,372)=$NX$16,0.5,IF(OFFSET($A12,0,1,1,372)=$NX$17,0.5,1))*(OFFSET($A$3,0,1,1,372))))</f>
        <v>5</v>
      </c>
      <c r="NL12" s="23">
        <f t="shared" ca="1" si="6"/>
        <v>1</v>
      </c>
      <c r="NM12" s="23">
        <f t="shared" ca="1" si="6"/>
        <v>0</v>
      </c>
      <c r="NN12" s="23">
        <f t="shared" ca="1" si="6"/>
        <v>0</v>
      </c>
      <c r="NO12" s="23">
        <f t="shared" ca="1" si="6"/>
        <v>4</v>
      </c>
      <c r="NP12" s="23">
        <f t="shared" ca="1" si="6"/>
        <v>0</v>
      </c>
      <c r="NQ12" s="23">
        <f t="shared" ca="1" si="6"/>
        <v>0</v>
      </c>
      <c r="NR12" s="23">
        <f t="shared" ca="1" si="6"/>
        <v>0</v>
      </c>
      <c r="NS12" s="23">
        <f t="shared" ca="1" si="6"/>
        <v>0</v>
      </c>
      <c r="NT12" s="23">
        <f t="shared" ca="1" si="6"/>
        <v>0</v>
      </c>
      <c r="NU12" s="23">
        <f t="shared" ca="1" si="6"/>
        <v>0</v>
      </c>
      <c r="NW12" s="16" t="s">
        <v>196</v>
      </c>
      <c r="NX12" s="25" t="s">
        <v>26</v>
      </c>
    </row>
    <row r="13" spans="1:761" x14ac:dyDescent="0.25">
      <c r="A13" s="1" t="s">
        <v>65</v>
      </c>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c r="JU13" s="1"/>
      <c r="JV13" s="1"/>
      <c r="JW13" s="1"/>
      <c r="JX13" s="1"/>
      <c r="JY13" s="1"/>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t="s">
        <v>37</v>
      </c>
      <c r="MT13" s="1" t="s">
        <v>37</v>
      </c>
      <c r="MU13" s="1" t="s">
        <v>37</v>
      </c>
      <c r="MV13" s="1" t="s">
        <v>37</v>
      </c>
      <c r="MW13" s="1" t="s">
        <v>37</v>
      </c>
      <c r="MX13" s="1"/>
      <c r="MY13" s="1"/>
      <c r="MZ13" s="1"/>
      <c r="NA13" s="1"/>
      <c r="NB13" s="1"/>
      <c r="NC13" s="1"/>
      <c r="ND13" s="1"/>
      <c r="NE13" s="1"/>
      <c r="NF13" s="1"/>
      <c r="NG13" s="1"/>
      <c r="NH13" s="1"/>
      <c r="NI13" s="1"/>
      <c r="NJ13" s="1"/>
      <c r="NK13" s="18">
        <f t="array" aca="1" ref="NK13" ca="1">SUMPRODUCT((OFFSET($A13,0,1,1,372)&lt;&gt;"")*(IF(OFFSET($A13,0,1,1,372)=$NX$16,0.5,IF(OFFSET($A13,0,1,1,372)=$NX$17,0.5,1))*(OFFSET($A$3,0,1,1,372))))</f>
        <v>5</v>
      </c>
      <c r="NL13" s="23">
        <f t="shared" ca="1" si="6"/>
        <v>0</v>
      </c>
      <c r="NM13" s="23">
        <f t="shared" ca="1" si="6"/>
        <v>0</v>
      </c>
      <c r="NN13" s="23">
        <f t="shared" ca="1" si="6"/>
        <v>0</v>
      </c>
      <c r="NO13" s="23">
        <f t="shared" ca="1" si="6"/>
        <v>5</v>
      </c>
      <c r="NP13" s="23">
        <f t="shared" ca="1" si="6"/>
        <v>0</v>
      </c>
      <c r="NQ13" s="23">
        <f t="shared" ca="1" si="6"/>
        <v>0</v>
      </c>
      <c r="NR13" s="23">
        <f t="shared" ca="1" si="6"/>
        <v>0</v>
      </c>
      <c r="NS13" s="23">
        <f t="shared" ca="1" si="6"/>
        <v>0</v>
      </c>
      <c r="NT13" s="23">
        <f t="shared" ca="1" si="6"/>
        <v>0</v>
      </c>
      <c r="NU13" s="23">
        <f t="shared" ca="1" si="6"/>
        <v>0</v>
      </c>
      <c r="NW13" s="24" t="s">
        <v>39</v>
      </c>
      <c r="NX13" s="25" t="s">
        <v>40</v>
      </c>
    </row>
    <row r="14" spans="1:761" x14ac:dyDescent="0.25">
      <c r="A14" s="1" t="s">
        <v>66</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t="s">
        <v>37</v>
      </c>
      <c r="MT14" s="1" t="s">
        <v>37</v>
      </c>
      <c r="MU14" s="1" t="s">
        <v>37</v>
      </c>
      <c r="MV14" s="1" t="s">
        <v>37</v>
      </c>
      <c r="MW14" s="1" t="s">
        <v>37</v>
      </c>
      <c r="MX14" s="1"/>
      <c r="MY14" s="1"/>
      <c r="MZ14" s="1"/>
      <c r="NA14" s="1"/>
      <c r="NB14" s="1"/>
      <c r="NC14" s="1"/>
      <c r="ND14" s="1"/>
      <c r="NE14" s="1"/>
      <c r="NF14" s="1"/>
      <c r="NG14" s="1"/>
      <c r="NH14" s="1"/>
      <c r="NI14" s="1"/>
      <c r="NJ14" s="1"/>
      <c r="NK14" s="18">
        <f t="array" aca="1" ref="NK14" ca="1">SUMPRODUCT((OFFSET($A14,0,1,1,372)&lt;&gt;"")*(IF(OFFSET($A14,0,1,1,372)=$NX$16,0.5,IF(OFFSET($A14,0,1,1,372)=$NX$17,0.5,1))*(OFFSET($A$3,0,1,1,372))))</f>
        <v>5</v>
      </c>
      <c r="NL14" s="23">
        <f t="shared" ca="1" si="6"/>
        <v>0</v>
      </c>
      <c r="NM14" s="23">
        <f t="shared" ca="1" si="6"/>
        <v>0</v>
      </c>
      <c r="NN14" s="23">
        <f t="shared" ca="1" si="6"/>
        <v>0</v>
      </c>
      <c r="NO14" s="23">
        <f t="shared" ca="1" si="6"/>
        <v>5</v>
      </c>
      <c r="NP14" s="23">
        <f t="shared" ca="1" si="6"/>
        <v>0</v>
      </c>
      <c r="NQ14" s="23">
        <f t="shared" ca="1" si="6"/>
        <v>0</v>
      </c>
      <c r="NR14" s="23">
        <f t="shared" ca="1" si="6"/>
        <v>0</v>
      </c>
      <c r="NS14" s="23">
        <f t="shared" ca="1" si="6"/>
        <v>0</v>
      </c>
      <c r="NT14" s="23">
        <f t="shared" ca="1" si="6"/>
        <v>0</v>
      </c>
      <c r="NU14" s="23">
        <f t="shared" ca="1" si="6"/>
        <v>0</v>
      </c>
      <c r="NW14" s="16" t="s">
        <v>25</v>
      </c>
      <c r="NX14" s="25" t="s">
        <v>197</v>
      </c>
    </row>
    <row r="15" spans="1:761" x14ac:dyDescent="0.25">
      <c r="A15" s="1" t="s">
        <v>67</v>
      </c>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c r="IZ15" s="1"/>
      <c r="JA15" s="1"/>
      <c r="JB15" s="1"/>
      <c r="JC15" s="1"/>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t="s">
        <v>37</v>
      </c>
      <c r="MT15" s="1" t="s">
        <v>37</v>
      </c>
      <c r="MU15" s="1" t="s">
        <v>37</v>
      </c>
      <c r="MV15" s="1" t="s">
        <v>37</v>
      </c>
      <c r="MW15" s="1" t="s">
        <v>37</v>
      </c>
      <c r="MX15" s="1"/>
      <c r="MY15" s="1"/>
      <c r="MZ15" s="1"/>
      <c r="NA15" s="1"/>
      <c r="NB15" s="1"/>
      <c r="NC15" s="1"/>
      <c r="ND15" s="1"/>
      <c r="NE15" s="1"/>
      <c r="NF15" s="1"/>
      <c r="NG15" s="1"/>
      <c r="NH15" s="1"/>
      <c r="NI15" s="1"/>
      <c r="NJ15" s="1"/>
      <c r="NK15" s="18">
        <f t="array" aca="1" ref="NK15" ca="1">SUMPRODUCT((OFFSET($A15,0,1,1,372)&lt;&gt;"")*(IF(OFFSET($A15,0,1,1,372)=$NX$16,0.5,IF(OFFSET($A15,0,1,1,372)=$NX$17,0.5,1))*(OFFSET($A$3,0,1,1,372))))</f>
        <v>5</v>
      </c>
      <c r="NL15" s="23">
        <f t="shared" ca="1" si="6"/>
        <v>0</v>
      </c>
      <c r="NM15" s="23">
        <f t="shared" ca="1" si="6"/>
        <v>0</v>
      </c>
      <c r="NN15" s="23">
        <f t="shared" ca="1" si="6"/>
        <v>0</v>
      </c>
      <c r="NO15" s="23">
        <f t="shared" ca="1" si="6"/>
        <v>5</v>
      </c>
      <c r="NP15" s="23">
        <f t="shared" ca="1" si="6"/>
        <v>0</v>
      </c>
      <c r="NQ15" s="23">
        <f t="shared" ca="1" si="6"/>
        <v>0</v>
      </c>
      <c r="NR15" s="23">
        <f t="shared" ca="1" si="6"/>
        <v>0</v>
      </c>
      <c r="NS15" s="23">
        <f t="shared" ca="1" si="6"/>
        <v>0</v>
      </c>
      <c r="NT15" s="23">
        <f t="shared" ca="1" si="6"/>
        <v>0</v>
      </c>
      <c r="NU15" s="23">
        <f t="shared" ca="1" si="6"/>
        <v>0</v>
      </c>
      <c r="NW15" s="16" t="s">
        <v>198</v>
      </c>
      <c r="NX15" s="25" t="s">
        <v>199</v>
      </c>
    </row>
    <row r="16" spans="1:761" x14ac:dyDescent="0.25">
      <c r="A16" s="1" t="s">
        <v>68</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t="s">
        <v>37</v>
      </c>
      <c r="MT16" s="1" t="s">
        <v>37</v>
      </c>
      <c r="MU16" s="1" t="s">
        <v>37</v>
      </c>
      <c r="MV16" s="1" t="s">
        <v>37</v>
      </c>
      <c r="MW16" s="1" t="s">
        <v>37</v>
      </c>
      <c r="MX16" s="1"/>
      <c r="MY16" s="1"/>
      <c r="MZ16" s="1"/>
      <c r="NA16" s="1"/>
      <c r="NB16" s="1"/>
      <c r="NC16" s="1"/>
      <c r="ND16" s="1"/>
      <c r="NE16" s="1"/>
      <c r="NF16" s="1"/>
      <c r="NG16" s="1"/>
      <c r="NH16" s="1"/>
      <c r="NI16" s="1"/>
      <c r="NJ16" s="1"/>
      <c r="NK16" s="18">
        <f t="array" aca="1" ref="NK16" ca="1">SUMPRODUCT((OFFSET($A16,0,1,1,372)&lt;&gt;"")*(IF(OFFSET($A16,0,1,1,372)=$NX$16,0.5,IF(OFFSET($A16,0,1,1,372)=$NX$17,0.5,1))*(OFFSET($A$3,0,1,1,372))))</f>
        <v>5</v>
      </c>
      <c r="NL16" s="23">
        <f t="shared" ca="1" si="6"/>
        <v>0</v>
      </c>
      <c r="NM16" s="23">
        <f t="shared" ca="1" si="6"/>
        <v>0</v>
      </c>
      <c r="NN16" s="23">
        <f t="shared" ca="1" si="6"/>
        <v>0</v>
      </c>
      <c r="NO16" s="23">
        <f t="shared" ca="1" si="6"/>
        <v>5</v>
      </c>
      <c r="NP16" s="23">
        <f t="shared" ca="1" si="6"/>
        <v>0</v>
      </c>
      <c r="NQ16" s="23">
        <f t="shared" ca="1" si="6"/>
        <v>0</v>
      </c>
      <c r="NR16" s="23">
        <f t="shared" ca="1" si="6"/>
        <v>0</v>
      </c>
      <c r="NS16" s="23">
        <f t="shared" ca="1" si="6"/>
        <v>0</v>
      </c>
      <c r="NT16" s="23">
        <f t="shared" ca="1" si="6"/>
        <v>0</v>
      </c>
      <c r="NU16" s="23">
        <f t="shared" ca="1" si="6"/>
        <v>0</v>
      </c>
      <c r="NW16" s="16" t="s">
        <v>42</v>
      </c>
      <c r="NX16" s="25" t="s">
        <v>35</v>
      </c>
    </row>
    <row r="17" spans="1:388" x14ac:dyDescent="0.25">
      <c r="A17" s="1" t="s">
        <v>69</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t="s">
        <v>37</v>
      </c>
      <c r="MT17" s="1" t="s">
        <v>37</v>
      </c>
      <c r="MU17" s="1" t="s">
        <v>37</v>
      </c>
      <c r="MV17" s="1" t="s">
        <v>37</v>
      </c>
      <c r="MW17" s="1" t="s">
        <v>37</v>
      </c>
      <c r="MX17" s="1"/>
      <c r="MY17" s="1"/>
      <c r="MZ17" s="1"/>
      <c r="NA17" s="1"/>
      <c r="NB17" s="1"/>
      <c r="NC17" s="1"/>
      <c r="ND17" s="1"/>
      <c r="NE17" s="1"/>
      <c r="NF17" s="1"/>
      <c r="NG17" s="1"/>
      <c r="NH17" s="1"/>
      <c r="NI17" s="1"/>
      <c r="NJ17" s="1"/>
      <c r="NK17" s="18">
        <f t="array" aca="1" ref="NK17" ca="1">SUMPRODUCT((OFFSET($A17,0,1,1,372)&lt;&gt;"")*(IF(OFFSET($A17,0,1,1,372)=$NX$16,0.5,IF(OFFSET($A17,0,1,1,372)=$NX$17,0.5,1))*(OFFSET($A$3,0,1,1,372))))</f>
        <v>5</v>
      </c>
      <c r="NL17" s="23">
        <f t="shared" ca="1" si="6"/>
        <v>0</v>
      </c>
      <c r="NM17" s="23">
        <f t="shared" ca="1" si="6"/>
        <v>0</v>
      </c>
      <c r="NN17" s="23">
        <f t="shared" ca="1" si="6"/>
        <v>0</v>
      </c>
      <c r="NO17" s="23">
        <f t="shared" ca="1" si="6"/>
        <v>5</v>
      </c>
      <c r="NP17" s="23">
        <f t="shared" ca="1" si="6"/>
        <v>0</v>
      </c>
      <c r="NQ17" s="23">
        <f t="shared" ca="1" si="6"/>
        <v>0</v>
      </c>
      <c r="NR17" s="23">
        <f t="shared" ca="1" si="6"/>
        <v>0</v>
      </c>
      <c r="NS17" s="23">
        <f t="shared" ca="1" si="6"/>
        <v>0</v>
      </c>
      <c r="NT17" s="23">
        <f t="shared" ca="1" si="6"/>
        <v>0</v>
      </c>
      <c r="NU17" s="23">
        <f t="shared" ca="1" si="6"/>
        <v>0</v>
      </c>
      <c r="NW17" s="16" t="s">
        <v>43</v>
      </c>
      <c r="NX17" s="25" t="s">
        <v>36</v>
      </c>
    </row>
    <row r="18" spans="1:388" x14ac:dyDescent="0.25">
      <c r="A18" s="1" t="s">
        <v>70</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t="s">
        <v>37</v>
      </c>
      <c r="MT18" s="1" t="s">
        <v>37</v>
      </c>
      <c r="MU18" s="1" t="s">
        <v>37</v>
      </c>
      <c r="MV18" s="1" t="s">
        <v>37</v>
      </c>
      <c r="MW18" s="1" t="s">
        <v>37</v>
      </c>
      <c r="MX18" s="1"/>
      <c r="MY18" s="1"/>
      <c r="MZ18" s="1"/>
      <c r="NA18" s="1"/>
      <c r="NB18" s="1"/>
      <c r="NC18" s="1"/>
      <c r="ND18" s="1"/>
      <c r="NE18" s="1"/>
      <c r="NF18" s="1"/>
      <c r="NG18" s="1"/>
      <c r="NH18" s="1"/>
      <c r="NI18" s="1"/>
      <c r="NJ18" s="1"/>
      <c r="NK18" s="18">
        <f t="array" aca="1" ref="NK18" ca="1">SUMPRODUCT((OFFSET($A18,0,1,1,372)&lt;&gt;"")*(IF(OFFSET($A18,0,1,1,372)=$NX$16,0.5,IF(OFFSET($A18,0,1,1,372)=$NX$17,0.5,1))*(OFFSET($A$3,0,1,1,372))))</f>
        <v>5</v>
      </c>
      <c r="NL18" s="23">
        <f t="shared" ref="NL18:NU26" ca="1" si="7">SUMPRODUCT((OFFSET($A18,0,1,1,372)&lt;&gt;"")*(OFFSET($A$3,0,1,1,372))*((OFFSET($A18,0,1,1,372))=NL$5))</f>
        <v>0</v>
      </c>
      <c r="NM18" s="23">
        <f t="shared" ca="1" si="7"/>
        <v>0</v>
      </c>
      <c r="NN18" s="23">
        <f t="shared" ca="1" si="7"/>
        <v>0</v>
      </c>
      <c r="NO18" s="23">
        <f t="shared" ca="1" si="7"/>
        <v>5</v>
      </c>
      <c r="NP18" s="23">
        <f t="shared" ca="1" si="7"/>
        <v>0</v>
      </c>
      <c r="NQ18" s="23">
        <f t="shared" ca="1" si="7"/>
        <v>0</v>
      </c>
      <c r="NR18" s="23">
        <f t="shared" ca="1" si="7"/>
        <v>0</v>
      </c>
      <c r="NS18" s="23">
        <f t="shared" ca="1" si="7"/>
        <v>0</v>
      </c>
      <c r="NT18" s="23">
        <f t="shared" ca="1" si="7"/>
        <v>0</v>
      </c>
      <c r="NU18" s="23">
        <f t="shared" ca="1" si="7"/>
        <v>0</v>
      </c>
    </row>
    <row r="19" spans="1:388" x14ac:dyDescent="0.25">
      <c r="A19" s="1" t="s">
        <v>71</v>
      </c>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t="s">
        <v>37</v>
      </c>
      <c r="MT19" s="1" t="s">
        <v>37</v>
      </c>
      <c r="MU19" s="1" t="s">
        <v>37</v>
      </c>
      <c r="MV19" s="1" t="s">
        <v>37</v>
      </c>
      <c r="MW19" s="1" t="s">
        <v>37</v>
      </c>
      <c r="MX19" s="1"/>
      <c r="MY19" s="1"/>
      <c r="MZ19" s="1"/>
      <c r="NA19" s="1"/>
      <c r="NB19" s="1"/>
      <c r="NC19" s="1"/>
      <c r="ND19" s="1"/>
      <c r="NE19" s="1"/>
      <c r="NF19" s="1"/>
      <c r="NG19" s="1"/>
      <c r="NH19" s="1"/>
      <c r="NI19" s="1"/>
      <c r="NJ19" s="1"/>
      <c r="NK19" s="18">
        <f t="array" aca="1" ref="NK19" ca="1">SUMPRODUCT((OFFSET($A19,0,1,1,372)&lt;&gt;"")*(IF(OFFSET($A19,0,1,1,372)=$NX$16,0.5,IF(OFFSET($A19,0,1,1,372)=$NX$17,0.5,1))*(OFFSET($A$3,0,1,1,372))))</f>
        <v>5</v>
      </c>
      <c r="NL19" s="23">
        <f t="shared" ca="1" si="7"/>
        <v>0</v>
      </c>
      <c r="NM19" s="23">
        <f t="shared" ca="1" si="7"/>
        <v>0</v>
      </c>
      <c r="NN19" s="23">
        <f t="shared" ca="1" si="7"/>
        <v>0</v>
      </c>
      <c r="NO19" s="23">
        <f t="shared" ca="1" si="7"/>
        <v>5</v>
      </c>
      <c r="NP19" s="23">
        <f t="shared" ca="1" si="7"/>
        <v>0</v>
      </c>
      <c r="NQ19" s="23">
        <f t="shared" ca="1" si="7"/>
        <v>0</v>
      </c>
      <c r="NR19" s="23">
        <f t="shared" ca="1" si="7"/>
        <v>0</v>
      </c>
      <c r="NS19" s="23">
        <f t="shared" ca="1" si="7"/>
        <v>0</v>
      </c>
      <c r="NT19" s="23">
        <f t="shared" ca="1" si="7"/>
        <v>0</v>
      </c>
      <c r="NU19" s="23">
        <f t="shared" ca="1" si="7"/>
        <v>0</v>
      </c>
    </row>
    <row r="20" spans="1:388" x14ac:dyDescent="0.25">
      <c r="A20" s="1" t="s">
        <v>72</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t="s">
        <v>37</v>
      </c>
      <c r="MT20" s="1" t="s">
        <v>37</v>
      </c>
      <c r="MU20" s="1" t="s">
        <v>37</v>
      </c>
      <c r="MV20" s="1" t="s">
        <v>37</v>
      </c>
      <c r="MW20" s="1" t="s">
        <v>37</v>
      </c>
      <c r="MX20" s="1"/>
      <c r="MY20" s="1"/>
      <c r="MZ20" s="1"/>
      <c r="NA20" s="1"/>
      <c r="NB20" s="1"/>
      <c r="NC20" s="1"/>
      <c r="ND20" s="1"/>
      <c r="NE20" s="1"/>
      <c r="NF20" s="1"/>
      <c r="NG20" s="1"/>
      <c r="NH20" s="1"/>
      <c r="NI20" s="1"/>
      <c r="NJ20" s="1"/>
      <c r="NK20" s="18">
        <f t="array" aca="1" ref="NK20" ca="1">SUMPRODUCT((OFFSET($A20,0,1,1,372)&lt;&gt;"")*(IF(OFFSET($A20,0,1,1,372)=$NX$16,0.5,IF(OFFSET($A20,0,1,1,372)=$NX$17,0.5,1))*(OFFSET($A$3,0,1,1,372))))</f>
        <v>5</v>
      </c>
      <c r="NL20" s="23">
        <f t="shared" ca="1" si="7"/>
        <v>0</v>
      </c>
      <c r="NM20" s="23">
        <f t="shared" ca="1" si="7"/>
        <v>0</v>
      </c>
      <c r="NN20" s="23">
        <f t="shared" ca="1" si="7"/>
        <v>0</v>
      </c>
      <c r="NO20" s="23">
        <f t="shared" ca="1" si="7"/>
        <v>5</v>
      </c>
      <c r="NP20" s="23">
        <f t="shared" ca="1" si="7"/>
        <v>0</v>
      </c>
      <c r="NQ20" s="23">
        <f t="shared" ca="1" si="7"/>
        <v>0</v>
      </c>
      <c r="NR20" s="23">
        <f t="shared" ca="1" si="7"/>
        <v>0</v>
      </c>
      <c r="NS20" s="23">
        <f t="shared" ca="1" si="7"/>
        <v>0</v>
      </c>
      <c r="NT20" s="23">
        <f t="shared" ca="1" si="7"/>
        <v>0</v>
      </c>
      <c r="NU20" s="23">
        <f t="shared" ca="1" si="7"/>
        <v>0</v>
      </c>
      <c r="NW20" s="15" t="s">
        <v>30</v>
      </c>
      <c r="NX20" s="15"/>
    </row>
    <row r="21" spans="1:388" x14ac:dyDescent="0.25">
      <c r="A21" s="1" t="s">
        <v>73</v>
      </c>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c r="LF21" s="1"/>
      <c r="LG21" s="1"/>
      <c r="LH21" s="1"/>
      <c r="LI21" s="1"/>
      <c r="LJ21" s="1"/>
      <c r="LK21" s="1"/>
      <c r="LL21" s="1"/>
      <c r="LM21" s="1"/>
      <c r="LN21" s="1"/>
      <c r="LO21" s="1"/>
      <c r="LP21" s="1"/>
      <c r="LQ21" s="1"/>
      <c r="LR21" s="1"/>
      <c r="LS21" s="1"/>
      <c r="LT21" s="1"/>
      <c r="LU21" s="1"/>
      <c r="LV21" s="1"/>
      <c r="LW21" s="1"/>
      <c r="LX21" s="1"/>
      <c r="LY21" s="1"/>
      <c r="LZ21" s="1"/>
      <c r="MA21" s="1"/>
      <c r="MB21" s="1"/>
      <c r="MC21" s="1"/>
      <c r="MD21" s="1"/>
      <c r="ME21" s="1"/>
      <c r="MF21" s="1"/>
      <c r="MG21" s="1"/>
      <c r="MH21" s="1"/>
      <c r="MI21" s="1"/>
      <c r="MJ21" s="1"/>
      <c r="MK21" s="1"/>
      <c r="ML21" s="1"/>
      <c r="MM21" s="1"/>
      <c r="MN21" s="1"/>
      <c r="MO21" s="1"/>
      <c r="MP21" s="1"/>
      <c r="MQ21" s="1"/>
      <c r="MR21" s="1"/>
      <c r="MS21" s="1" t="s">
        <v>37</v>
      </c>
      <c r="MT21" s="1" t="s">
        <v>37</v>
      </c>
      <c r="MU21" s="1" t="s">
        <v>37</v>
      </c>
      <c r="MV21" s="1" t="s">
        <v>37</v>
      </c>
      <c r="MW21" s="1" t="s">
        <v>37</v>
      </c>
      <c r="MX21" s="1"/>
      <c r="MY21" s="1"/>
      <c r="MZ21" s="1"/>
      <c r="NA21" s="1"/>
      <c r="NB21" s="1"/>
      <c r="NC21" s="1"/>
      <c r="ND21" s="1"/>
      <c r="NE21" s="1"/>
      <c r="NF21" s="1"/>
      <c r="NG21" s="1"/>
      <c r="NH21" s="1"/>
      <c r="NI21" s="1"/>
      <c r="NJ21" s="1"/>
      <c r="NK21" s="18">
        <f t="array" aca="1" ref="NK21" ca="1">SUMPRODUCT((OFFSET($A21,0,1,1,372)&lt;&gt;"")*(IF(OFFSET($A21,0,1,1,372)=$NX$16,0.5,IF(OFFSET($A21,0,1,1,372)=$NX$17,0.5,1))*(OFFSET($A$3,0,1,1,372))))</f>
        <v>5</v>
      </c>
      <c r="NL21" s="23">
        <f t="shared" ca="1" si="7"/>
        <v>0</v>
      </c>
      <c r="NM21" s="23">
        <f t="shared" ca="1" si="7"/>
        <v>0</v>
      </c>
      <c r="NN21" s="23">
        <f t="shared" ca="1" si="7"/>
        <v>0</v>
      </c>
      <c r="NO21" s="23">
        <f t="shared" ca="1" si="7"/>
        <v>5</v>
      </c>
      <c r="NP21" s="23">
        <f t="shared" ca="1" si="7"/>
        <v>0</v>
      </c>
      <c r="NQ21" s="23">
        <f t="shared" ca="1" si="7"/>
        <v>0</v>
      </c>
      <c r="NR21" s="23">
        <f t="shared" ca="1" si="7"/>
        <v>0</v>
      </c>
      <c r="NS21" s="23">
        <f t="shared" ca="1" si="7"/>
        <v>0</v>
      </c>
      <c r="NT21" s="23">
        <f t="shared" ca="1" si="7"/>
        <v>0</v>
      </c>
      <c r="NU21" s="23">
        <f t="shared" ca="1" si="7"/>
        <v>0</v>
      </c>
      <c r="NW21" s="14" t="s">
        <v>11</v>
      </c>
      <c r="NX21" s="14" t="s">
        <v>32</v>
      </c>
    </row>
    <row r="22" spans="1:388" x14ac:dyDescent="0.25">
      <c r="A22" s="1" t="s">
        <v>74</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t="s">
        <v>37</v>
      </c>
      <c r="MT22" s="1" t="s">
        <v>37</v>
      </c>
      <c r="MU22" s="1" t="s">
        <v>37</v>
      </c>
      <c r="MV22" s="1" t="s">
        <v>37</v>
      </c>
      <c r="MW22" s="1" t="s">
        <v>37</v>
      </c>
      <c r="MX22" s="1"/>
      <c r="MY22" s="1"/>
      <c r="MZ22" s="1"/>
      <c r="NA22" s="1"/>
      <c r="NB22" s="1"/>
      <c r="NC22" s="1"/>
      <c r="ND22" s="1"/>
      <c r="NE22" s="1"/>
      <c r="NF22" s="1"/>
      <c r="NG22" s="1"/>
      <c r="NH22" s="1"/>
      <c r="NI22" s="1"/>
      <c r="NJ22" s="1"/>
      <c r="NK22" s="18">
        <f t="array" aca="1" ref="NK22" ca="1">SUMPRODUCT((OFFSET($A22,0,1,1,372)&lt;&gt;"")*(IF(OFFSET($A22,0,1,1,372)=$NX$16,0.5,IF(OFFSET($A22,0,1,1,372)=$NX$17,0.5,1))*(OFFSET($A$3,0,1,1,372))))</f>
        <v>5</v>
      </c>
      <c r="NL22" s="23">
        <f t="shared" ca="1" si="7"/>
        <v>0</v>
      </c>
      <c r="NM22" s="23">
        <f t="shared" ca="1" si="7"/>
        <v>0</v>
      </c>
      <c r="NN22" s="23">
        <f t="shared" ca="1" si="7"/>
        <v>0</v>
      </c>
      <c r="NO22" s="23">
        <f t="shared" ca="1" si="7"/>
        <v>5</v>
      </c>
      <c r="NP22" s="23">
        <f t="shared" ca="1" si="7"/>
        <v>0</v>
      </c>
      <c r="NQ22" s="23">
        <f t="shared" ca="1" si="7"/>
        <v>0</v>
      </c>
      <c r="NR22" s="23">
        <f t="shared" ca="1" si="7"/>
        <v>0</v>
      </c>
      <c r="NS22" s="23">
        <f t="shared" ca="1" si="7"/>
        <v>0</v>
      </c>
      <c r="NT22" s="23">
        <f t="shared" ca="1" si="7"/>
        <v>0</v>
      </c>
      <c r="NU22" s="23">
        <f t="shared" ca="1" si="7"/>
        <v>0</v>
      </c>
      <c r="NW22" s="14" t="s">
        <v>12</v>
      </c>
      <c r="NX22" s="14" t="s">
        <v>32</v>
      </c>
    </row>
    <row r="23" spans="1:388" x14ac:dyDescent="0.25">
      <c r="A23" s="1" t="s">
        <v>75</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c r="LF23" s="1"/>
      <c r="LG23" s="1"/>
      <c r="LH23" s="1"/>
      <c r="LI23" s="1"/>
      <c r="LJ23" s="1"/>
      <c r="LK23" s="1"/>
      <c r="LL23" s="1"/>
      <c r="LM23" s="1"/>
      <c r="LN23" s="1"/>
      <c r="LO23" s="1"/>
      <c r="LP23" s="1"/>
      <c r="LQ23" s="1"/>
      <c r="LR23" s="1"/>
      <c r="LS23" s="1"/>
      <c r="LT23" s="1"/>
      <c r="LU23" s="1"/>
      <c r="LV23" s="1"/>
      <c r="LW23" s="1"/>
      <c r="LX23" s="1"/>
      <c r="LY23" s="1"/>
      <c r="LZ23" s="1"/>
      <c r="MA23" s="1"/>
      <c r="MB23" s="1"/>
      <c r="MC23" s="1"/>
      <c r="MD23" s="1"/>
      <c r="ME23" s="1"/>
      <c r="MF23" s="1"/>
      <c r="MG23" s="1"/>
      <c r="MH23" s="1"/>
      <c r="MI23" s="1"/>
      <c r="MJ23" s="1"/>
      <c r="MK23" s="1"/>
      <c r="ML23" s="1"/>
      <c r="MM23" s="1"/>
      <c r="MN23" s="1"/>
      <c r="MO23" s="1"/>
      <c r="MP23" s="1"/>
      <c r="MQ23" s="1"/>
      <c r="MR23" s="1"/>
      <c r="MS23" s="1" t="s">
        <v>37</v>
      </c>
      <c r="MT23" s="1" t="s">
        <v>37</v>
      </c>
      <c r="MU23" s="1" t="s">
        <v>37</v>
      </c>
      <c r="MV23" s="1" t="s">
        <v>37</v>
      </c>
      <c r="MW23" s="1" t="s">
        <v>37</v>
      </c>
      <c r="MX23" s="1"/>
      <c r="MY23" s="1"/>
      <c r="MZ23" s="1"/>
      <c r="NA23" s="1"/>
      <c r="NB23" s="1"/>
      <c r="NC23" s="1"/>
      <c r="ND23" s="1"/>
      <c r="NE23" s="1"/>
      <c r="NF23" s="1"/>
      <c r="NG23" s="1"/>
      <c r="NH23" s="1"/>
      <c r="NI23" s="1"/>
      <c r="NJ23" s="1"/>
      <c r="NK23" s="18">
        <f t="array" aca="1" ref="NK23" ca="1">SUMPRODUCT((OFFSET($A23,0,1,1,372)&lt;&gt;"")*(IF(OFFSET($A23,0,1,1,372)=$NX$16,0.5,IF(OFFSET($A23,0,1,1,372)=$NX$17,0.5,1))*(OFFSET($A$3,0,1,1,372))))</f>
        <v>5</v>
      </c>
      <c r="NL23" s="23">
        <f t="shared" ca="1" si="7"/>
        <v>0</v>
      </c>
      <c r="NM23" s="23">
        <f t="shared" ca="1" si="7"/>
        <v>0</v>
      </c>
      <c r="NN23" s="23">
        <f t="shared" ca="1" si="7"/>
        <v>0</v>
      </c>
      <c r="NO23" s="23">
        <f t="shared" ca="1" si="7"/>
        <v>5</v>
      </c>
      <c r="NP23" s="23">
        <f t="shared" ca="1" si="7"/>
        <v>0</v>
      </c>
      <c r="NQ23" s="23">
        <f t="shared" ca="1" si="7"/>
        <v>0</v>
      </c>
      <c r="NR23" s="23">
        <f t="shared" ca="1" si="7"/>
        <v>0</v>
      </c>
      <c r="NS23" s="23">
        <f t="shared" ca="1" si="7"/>
        <v>0</v>
      </c>
      <c r="NT23" s="23">
        <f t="shared" ca="1" si="7"/>
        <v>0</v>
      </c>
      <c r="NU23" s="23">
        <f t="shared" ca="1" si="7"/>
        <v>0</v>
      </c>
      <c r="NW23" s="14" t="s">
        <v>13</v>
      </c>
      <c r="NX23" s="14" t="s">
        <v>32</v>
      </c>
    </row>
    <row r="24" spans="1:388" x14ac:dyDescent="0.25">
      <c r="A24" s="1" t="s">
        <v>76</v>
      </c>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c r="LF24" s="1"/>
      <c r="LG24" s="1"/>
      <c r="LH24" s="1"/>
      <c r="LI24" s="1"/>
      <c r="LJ24" s="1"/>
      <c r="LK24" s="1"/>
      <c r="LL24" s="1"/>
      <c r="LM24" s="1"/>
      <c r="LN24" s="1"/>
      <c r="LO24" s="1"/>
      <c r="LP24" s="1"/>
      <c r="LQ24" s="1"/>
      <c r="LR24" s="1"/>
      <c r="LS24" s="1"/>
      <c r="LT24" s="1"/>
      <c r="LU24" s="1"/>
      <c r="LV24" s="1"/>
      <c r="LW24" s="1"/>
      <c r="LX24" s="1"/>
      <c r="LY24" s="1"/>
      <c r="LZ24" s="1"/>
      <c r="MA24" s="1"/>
      <c r="MB24" s="1"/>
      <c r="MC24" s="1"/>
      <c r="MD24" s="1"/>
      <c r="ME24" s="1"/>
      <c r="MF24" s="1"/>
      <c r="MG24" s="1"/>
      <c r="MH24" s="1"/>
      <c r="MI24" s="1"/>
      <c r="MJ24" s="1"/>
      <c r="MK24" s="1"/>
      <c r="ML24" s="1"/>
      <c r="MM24" s="1"/>
      <c r="MN24" s="1"/>
      <c r="MO24" s="1"/>
      <c r="MP24" s="1"/>
      <c r="MQ24" s="1"/>
      <c r="MR24" s="1"/>
      <c r="MS24" s="1" t="s">
        <v>37</v>
      </c>
      <c r="MT24" s="1" t="s">
        <v>37</v>
      </c>
      <c r="MU24" s="1" t="s">
        <v>37</v>
      </c>
      <c r="MV24" s="1" t="s">
        <v>37</v>
      </c>
      <c r="MW24" s="1" t="s">
        <v>37</v>
      </c>
      <c r="MX24" s="1"/>
      <c r="MY24" s="1"/>
      <c r="MZ24" s="1"/>
      <c r="NA24" s="1"/>
      <c r="NB24" s="1"/>
      <c r="NC24" s="1"/>
      <c r="ND24" s="1"/>
      <c r="NE24" s="1"/>
      <c r="NF24" s="1"/>
      <c r="NG24" s="1"/>
      <c r="NH24" s="1"/>
      <c r="NI24" s="1"/>
      <c r="NJ24" s="1"/>
      <c r="NK24" s="18">
        <f t="array" aca="1" ref="NK24" ca="1">SUMPRODUCT((OFFSET($A24,0,1,1,372)&lt;&gt;"")*(IF(OFFSET($A24,0,1,1,372)=$NX$16,0.5,IF(OFFSET($A24,0,1,1,372)=$NX$17,0.5,1))*(OFFSET($A$3,0,1,1,372))))</f>
        <v>5</v>
      </c>
      <c r="NL24" s="23">
        <f t="shared" ca="1" si="7"/>
        <v>0</v>
      </c>
      <c r="NM24" s="23">
        <f t="shared" ca="1" si="7"/>
        <v>0</v>
      </c>
      <c r="NN24" s="23">
        <f t="shared" ca="1" si="7"/>
        <v>0</v>
      </c>
      <c r="NO24" s="23">
        <f t="shared" ca="1" si="7"/>
        <v>5</v>
      </c>
      <c r="NP24" s="23">
        <f t="shared" ca="1" si="7"/>
        <v>0</v>
      </c>
      <c r="NQ24" s="23">
        <f t="shared" ca="1" si="7"/>
        <v>0</v>
      </c>
      <c r="NR24" s="23">
        <f t="shared" ca="1" si="7"/>
        <v>0</v>
      </c>
      <c r="NS24" s="23">
        <f t="shared" ca="1" si="7"/>
        <v>0</v>
      </c>
      <c r="NT24" s="23">
        <f t="shared" ca="1" si="7"/>
        <v>0</v>
      </c>
      <c r="NU24" s="23">
        <f t="shared" ca="1" si="7"/>
        <v>0</v>
      </c>
      <c r="NW24" s="14" t="s">
        <v>14</v>
      </c>
      <c r="NX24" s="14" t="s">
        <v>32</v>
      </c>
    </row>
    <row r="25" spans="1:388" x14ac:dyDescent="0.25">
      <c r="A25" s="1" t="s">
        <v>77</v>
      </c>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c r="LF25" s="1"/>
      <c r="LG25" s="1"/>
      <c r="LH25" s="1"/>
      <c r="LI25" s="1"/>
      <c r="LJ25" s="1"/>
      <c r="LK25" s="1"/>
      <c r="LL25" s="1"/>
      <c r="LM25" s="1"/>
      <c r="LN25" s="1"/>
      <c r="LO25" s="1"/>
      <c r="LP25" s="1"/>
      <c r="LQ25" s="1"/>
      <c r="LR25" s="1"/>
      <c r="LS25" s="1"/>
      <c r="LT25" s="1"/>
      <c r="LU25" s="1"/>
      <c r="LV25" s="1"/>
      <c r="LW25" s="1"/>
      <c r="LX25" s="1"/>
      <c r="LY25" s="1"/>
      <c r="LZ25" s="1"/>
      <c r="MA25" s="1"/>
      <c r="MB25" s="1"/>
      <c r="MC25" s="1"/>
      <c r="MD25" s="1"/>
      <c r="ME25" s="1"/>
      <c r="MF25" s="1"/>
      <c r="MG25" s="1"/>
      <c r="MH25" s="1"/>
      <c r="MI25" s="1"/>
      <c r="MJ25" s="1"/>
      <c r="MK25" s="1"/>
      <c r="ML25" s="1"/>
      <c r="MM25" s="1"/>
      <c r="MN25" s="1"/>
      <c r="MO25" s="1"/>
      <c r="MP25" s="1"/>
      <c r="MQ25" s="1"/>
      <c r="MR25" s="1"/>
      <c r="MS25" s="1" t="s">
        <v>37</v>
      </c>
      <c r="MT25" s="1" t="s">
        <v>37</v>
      </c>
      <c r="MU25" s="1" t="s">
        <v>190</v>
      </c>
      <c r="MV25" s="1" t="s">
        <v>37</v>
      </c>
      <c r="MW25" s="1" t="s">
        <v>37</v>
      </c>
      <c r="MX25" s="1"/>
      <c r="MY25" s="1"/>
      <c r="MZ25" s="1"/>
      <c r="NA25" s="1"/>
      <c r="NB25" s="1"/>
      <c r="NC25" s="1"/>
      <c r="ND25" s="1"/>
      <c r="NE25" s="1"/>
      <c r="NF25" s="1"/>
      <c r="NG25" s="1"/>
      <c r="NH25" s="1"/>
      <c r="NI25" s="1"/>
      <c r="NJ25" s="1"/>
      <c r="NK25" s="18">
        <f t="array" aca="1" ref="NK25" ca="1">SUMPRODUCT((OFFSET($A25,0,1,1,372)&lt;&gt;"")*(IF(OFFSET($A25,0,1,1,372)=$NX$16,0.5,IF(OFFSET($A25,0,1,1,372)=$NX$17,0.5,1))*(OFFSET($A$3,0,1,1,372))))</f>
        <v>5</v>
      </c>
      <c r="NL25" s="23">
        <f t="shared" ca="1" si="7"/>
        <v>1</v>
      </c>
      <c r="NM25" s="23">
        <f t="shared" ca="1" si="7"/>
        <v>0</v>
      </c>
      <c r="NN25" s="23">
        <f t="shared" ca="1" si="7"/>
        <v>0</v>
      </c>
      <c r="NO25" s="23">
        <f t="shared" ca="1" si="7"/>
        <v>4</v>
      </c>
      <c r="NP25" s="23">
        <f t="shared" ca="1" si="7"/>
        <v>0</v>
      </c>
      <c r="NQ25" s="23">
        <f t="shared" ca="1" si="7"/>
        <v>0</v>
      </c>
      <c r="NR25" s="23">
        <f t="shared" ca="1" si="7"/>
        <v>0</v>
      </c>
      <c r="NS25" s="23">
        <f t="shared" ca="1" si="7"/>
        <v>0</v>
      </c>
      <c r="NT25" s="23">
        <f t="shared" ca="1" si="7"/>
        <v>0</v>
      </c>
      <c r="NU25" s="23">
        <f t="shared" ca="1" si="7"/>
        <v>0</v>
      </c>
      <c r="NW25" s="14" t="s">
        <v>15</v>
      </c>
      <c r="NX25" s="14" t="s">
        <v>32</v>
      </c>
    </row>
    <row r="26" spans="1:388" x14ac:dyDescent="0.25">
      <c r="A26" s="1" t="s">
        <v>78</v>
      </c>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c r="LF26" s="1"/>
      <c r="LG26" s="1"/>
      <c r="LH26" s="1"/>
      <c r="LI26" s="1"/>
      <c r="LJ26" s="1"/>
      <c r="LK26" s="1"/>
      <c r="LL26" s="1"/>
      <c r="LM26" s="1"/>
      <c r="LN26" s="1"/>
      <c r="LO26" s="1"/>
      <c r="LP26" s="1"/>
      <c r="LQ26" s="1"/>
      <c r="LR26" s="1"/>
      <c r="LS26" s="1"/>
      <c r="LT26" s="1"/>
      <c r="LU26" s="1"/>
      <c r="LV26" s="1"/>
      <c r="LW26" s="1"/>
      <c r="LX26" s="1"/>
      <c r="LY26" s="1"/>
      <c r="LZ26" s="1"/>
      <c r="MA26" s="1"/>
      <c r="MB26" s="1"/>
      <c r="MC26" s="1"/>
      <c r="MD26" s="1"/>
      <c r="ME26" s="1"/>
      <c r="MF26" s="1"/>
      <c r="MG26" s="1"/>
      <c r="MH26" s="1"/>
      <c r="MI26" s="1"/>
      <c r="MJ26" s="1"/>
      <c r="MK26" s="1"/>
      <c r="ML26" s="1"/>
      <c r="MM26" s="1"/>
      <c r="MN26" s="1"/>
      <c r="MO26" s="1"/>
      <c r="MP26" s="1"/>
      <c r="MQ26" s="1"/>
      <c r="MR26" s="1"/>
      <c r="MS26" s="1" t="s">
        <v>37</v>
      </c>
      <c r="MT26" s="1" t="s">
        <v>37</v>
      </c>
      <c r="MU26" s="1" t="s">
        <v>37</v>
      </c>
      <c r="MV26" s="1" t="s">
        <v>37</v>
      </c>
      <c r="MW26" s="1" t="s">
        <v>37</v>
      </c>
      <c r="MX26" s="1"/>
      <c r="MY26" s="1"/>
      <c r="MZ26" s="1"/>
      <c r="NA26" s="1"/>
      <c r="NB26" s="1"/>
      <c r="NC26" s="1"/>
      <c r="ND26" s="1"/>
      <c r="NE26" s="1"/>
      <c r="NF26" s="1"/>
      <c r="NG26" s="1"/>
      <c r="NH26" s="1"/>
      <c r="NI26" s="1"/>
      <c r="NJ26" s="1"/>
      <c r="NK26" s="18">
        <f t="array" aca="1" ref="NK26" ca="1">SUMPRODUCT((OFFSET($A26,0,1,1,372)&lt;&gt;"")*(IF(OFFSET($A26,0,1,1,372)=$NX$16,0.5,IF(OFFSET($A26,0,1,1,372)=$NX$17,0.5,1))*(OFFSET($A$3,0,1,1,372))))</f>
        <v>5</v>
      </c>
      <c r="NL26" s="23">
        <f t="shared" ca="1" si="7"/>
        <v>0</v>
      </c>
      <c r="NM26" s="23">
        <f t="shared" ca="1" si="7"/>
        <v>0</v>
      </c>
      <c r="NN26" s="23">
        <f t="shared" ca="1" si="7"/>
        <v>0</v>
      </c>
      <c r="NO26" s="23">
        <f t="shared" ca="1" si="7"/>
        <v>5</v>
      </c>
      <c r="NP26" s="23">
        <f t="shared" ca="1" si="7"/>
        <v>0</v>
      </c>
      <c r="NQ26" s="23">
        <f t="shared" ca="1" si="7"/>
        <v>0</v>
      </c>
      <c r="NR26" s="23">
        <f t="shared" ca="1" si="7"/>
        <v>0</v>
      </c>
      <c r="NS26" s="23">
        <f t="shared" ca="1" si="7"/>
        <v>0</v>
      </c>
      <c r="NT26" s="23">
        <f t="shared" ca="1" si="7"/>
        <v>0</v>
      </c>
      <c r="NU26" s="23">
        <f t="shared" ca="1" si="7"/>
        <v>0</v>
      </c>
      <c r="NW26" s="14" t="s">
        <v>16</v>
      </c>
      <c r="NX26" s="14" t="s">
        <v>31</v>
      </c>
    </row>
    <row r="27" spans="1:388" x14ac:dyDescent="0.25">
      <c r="A27" s="1" t="s">
        <v>79</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c r="KT27" s="1"/>
      <c r="KU27" s="1"/>
      <c r="KV27" s="1"/>
      <c r="KW27" s="1"/>
      <c r="KX27" s="1"/>
      <c r="KY27" s="1"/>
      <c r="KZ27" s="1"/>
      <c r="LA27" s="1"/>
      <c r="LB27" s="1"/>
      <c r="LC27" s="1"/>
      <c r="LD27" s="1"/>
      <c r="LE27" s="1"/>
      <c r="LF27" s="1"/>
      <c r="LG27" s="1"/>
      <c r="LH27" s="1"/>
      <c r="LI27" s="1"/>
      <c r="LJ27" s="1"/>
      <c r="LK27" s="1"/>
      <c r="LL27" s="1"/>
      <c r="LM27" s="1"/>
      <c r="LN27" s="1"/>
      <c r="LO27" s="1"/>
      <c r="LP27" s="1"/>
      <c r="LQ27" s="1"/>
      <c r="LR27" s="1"/>
      <c r="LS27" s="1"/>
      <c r="LT27" s="1"/>
      <c r="LU27" s="1"/>
      <c r="LV27" s="1"/>
      <c r="LW27" s="1"/>
      <c r="LX27" s="1"/>
      <c r="LY27" s="1"/>
      <c r="LZ27" s="1"/>
      <c r="MA27" s="1"/>
      <c r="MB27" s="1"/>
      <c r="MC27" s="1"/>
      <c r="MD27" s="1"/>
      <c r="ME27" s="1"/>
      <c r="MF27" s="1"/>
      <c r="MG27" s="1"/>
      <c r="MH27" s="1"/>
      <c r="MI27" s="1"/>
      <c r="MJ27" s="1"/>
      <c r="MK27" s="1"/>
      <c r="ML27" s="1"/>
      <c r="MM27" s="1"/>
      <c r="MN27" s="1"/>
      <c r="MO27" s="1"/>
      <c r="MP27" s="1"/>
      <c r="MQ27" s="1"/>
      <c r="MR27" s="1"/>
      <c r="MS27" s="1" t="s">
        <v>37</v>
      </c>
      <c r="MT27" s="1" t="s">
        <v>37</v>
      </c>
      <c r="MU27" s="1" t="s">
        <v>37</v>
      </c>
      <c r="MV27" s="1" t="s">
        <v>37</v>
      </c>
      <c r="MW27" s="1" t="s">
        <v>37</v>
      </c>
      <c r="MX27" s="1"/>
      <c r="MY27" s="1"/>
      <c r="MZ27" s="1"/>
      <c r="NA27" s="1"/>
      <c r="NB27" s="1"/>
      <c r="NC27" s="1"/>
      <c r="ND27" s="1"/>
      <c r="NE27" s="1"/>
      <c r="NF27" s="1"/>
      <c r="NG27" s="1"/>
      <c r="NH27" s="1"/>
      <c r="NI27" s="1"/>
      <c r="NJ27" s="1"/>
      <c r="NK27" s="18">
        <f t="array" aca="1" ref="NK27" ca="1">SUMPRODUCT((OFFSET($A27,0,1,1,372)&lt;&gt;"")*(IF(OFFSET($A27,0,1,1,372)=$NX$16,0.5,IF(OFFSET($A27,0,1,1,372)=$NX$17,0.5,1))*(OFFSET($A$3,0,1,1,372))))</f>
        <v>5</v>
      </c>
      <c r="NL27" s="23"/>
      <c r="NM27" s="23"/>
      <c r="NN27" s="23"/>
      <c r="NO27" s="23"/>
      <c r="NP27" s="23"/>
      <c r="NQ27" s="23"/>
      <c r="NR27" s="23"/>
      <c r="NS27" s="23"/>
      <c r="NT27" s="23"/>
      <c r="NU27" s="23"/>
      <c r="NW27" s="14"/>
      <c r="NX27" s="14"/>
    </row>
    <row r="28" spans="1:388" x14ac:dyDescent="0.25">
      <c r="A28" s="1" t="s">
        <v>80</v>
      </c>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c r="KT28" s="1"/>
      <c r="KU28" s="1"/>
      <c r="KV28" s="1"/>
      <c r="KW28" s="1"/>
      <c r="KX28" s="1"/>
      <c r="KY28" s="1"/>
      <c r="KZ28" s="1"/>
      <c r="LA28" s="1"/>
      <c r="LB28" s="1"/>
      <c r="LC28" s="1"/>
      <c r="LD28" s="1"/>
      <c r="LE28" s="1"/>
      <c r="LF28" s="1"/>
      <c r="LG28" s="1"/>
      <c r="LH28" s="1"/>
      <c r="LI28" s="1"/>
      <c r="LJ28" s="1"/>
      <c r="LK28" s="1"/>
      <c r="LL28" s="1"/>
      <c r="LM28" s="1"/>
      <c r="LN28" s="1"/>
      <c r="LO28" s="1"/>
      <c r="LP28" s="1"/>
      <c r="LQ28" s="1"/>
      <c r="LR28" s="1"/>
      <c r="LS28" s="1"/>
      <c r="LT28" s="1"/>
      <c r="LU28" s="1"/>
      <c r="LV28" s="1"/>
      <c r="LW28" s="1"/>
      <c r="LX28" s="1"/>
      <c r="LY28" s="1"/>
      <c r="LZ28" s="1"/>
      <c r="MA28" s="1"/>
      <c r="MB28" s="1"/>
      <c r="MC28" s="1"/>
      <c r="MD28" s="1"/>
      <c r="ME28" s="1"/>
      <c r="MF28" s="1"/>
      <c r="MG28" s="1"/>
      <c r="MH28" s="1"/>
      <c r="MI28" s="1"/>
      <c r="MJ28" s="1"/>
      <c r="MK28" s="1"/>
      <c r="ML28" s="1"/>
      <c r="MM28" s="1"/>
      <c r="MN28" s="1"/>
      <c r="MO28" s="1"/>
      <c r="MP28" s="1"/>
      <c r="MQ28" s="1"/>
      <c r="MR28" s="1"/>
      <c r="MS28" s="1" t="s">
        <v>37</v>
      </c>
      <c r="MT28" s="1" t="s">
        <v>37</v>
      </c>
      <c r="MU28" s="1" t="s">
        <v>37</v>
      </c>
      <c r="MV28" s="1" t="s">
        <v>37</v>
      </c>
      <c r="MW28" s="1" t="s">
        <v>37</v>
      </c>
      <c r="MX28" s="1"/>
      <c r="MY28" s="1"/>
      <c r="MZ28" s="1"/>
      <c r="NA28" s="1"/>
      <c r="NB28" s="1"/>
      <c r="NC28" s="1"/>
      <c r="ND28" s="1"/>
      <c r="NE28" s="1"/>
      <c r="NF28" s="1"/>
      <c r="NG28" s="1"/>
      <c r="NH28" s="1"/>
      <c r="NI28" s="1"/>
      <c r="NJ28" s="1"/>
      <c r="NK28" s="18">
        <f t="array" aca="1" ref="NK28" ca="1">SUMPRODUCT((OFFSET($A28,0,1,1,372)&lt;&gt;"")*(IF(OFFSET($A28,0,1,1,372)=$NX$16,0.5,IF(OFFSET($A28,0,1,1,372)=$NX$17,0.5,1))*(OFFSET($A$3,0,1,1,372))))</f>
        <v>5</v>
      </c>
      <c r="NL28" s="23"/>
      <c r="NM28" s="23"/>
      <c r="NN28" s="23"/>
      <c r="NO28" s="23"/>
      <c r="NP28" s="23"/>
      <c r="NQ28" s="23"/>
      <c r="NR28" s="23"/>
      <c r="NS28" s="23"/>
      <c r="NT28" s="23"/>
      <c r="NU28" s="23"/>
      <c r="NW28" s="14"/>
      <c r="NX28" s="14"/>
    </row>
    <row r="29" spans="1:388" x14ac:dyDescent="0.25">
      <c r="A29" s="1" t="s">
        <v>81</v>
      </c>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c r="KT29" s="1"/>
      <c r="KU29" s="1"/>
      <c r="KV29" s="1"/>
      <c r="KW29" s="1"/>
      <c r="KX29" s="1"/>
      <c r="KY29" s="1"/>
      <c r="KZ29" s="1"/>
      <c r="LA29" s="1"/>
      <c r="LB29" s="1"/>
      <c r="LC29" s="1"/>
      <c r="LD29" s="1"/>
      <c r="LE29" s="1"/>
      <c r="LF29" s="1"/>
      <c r="LG29" s="1"/>
      <c r="LH29" s="1"/>
      <c r="LI29" s="1"/>
      <c r="LJ29" s="1"/>
      <c r="LK29" s="1"/>
      <c r="LL29" s="1"/>
      <c r="LM29" s="1"/>
      <c r="LN29" s="1"/>
      <c r="LO29" s="1"/>
      <c r="LP29" s="1"/>
      <c r="LQ29" s="1"/>
      <c r="LR29" s="1"/>
      <c r="LS29" s="1"/>
      <c r="LT29" s="1"/>
      <c r="LU29" s="1"/>
      <c r="LV29" s="1"/>
      <c r="LW29" s="1"/>
      <c r="LX29" s="1"/>
      <c r="LY29" s="1"/>
      <c r="LZ29" s="1"/>
      <c r="MA29" s="1"/>
      <c r="MB29" s="1"/>
      <c r="MC29" s="1"/>
      <c r="MD29" s="1"/>
      <c r="ME29" s="1"/>
      <c r="MF29" s="1"/>
      <c r="MG29" s="1"/>
      <c r="MH29" s="1"/>
      <c r="MI29" s="1"/>
      <c r="MJ29" s="1"/>
      <c r="MK29" s="1"/>
      <c r="ML29" s="1"/>
      <c r="MM29" s="1"/>
      <c r="MN29" s="1"/>
      <c r="MO29" s="1"/>
      <c r="MP29" s="1"/>
      <c r="MQ29" s="1"/>
      <c r="MR29" s="1"/>
      <c r="MS29" s="1" t="s">
        <v>37</v>
      </c>
      <c r="MT29" s="1" t="s">
        <v>37</v>
      </c>
      <c r="MU29" s="1" t="s">
        <v>37</v>
      </c>
      <c r="MV29" s="1" t="s">
        <v>37</v>
      </c>
      <c r="MW29" s="1" t="s">
        <v>37</v>
      </c>
      <c r="MX29" s="1"/>
      <c r="MY29" s="1"/>
      <c r="MZ29" s="1"/>
      <c r="NA29" s="1"/>
      <c r="NB29" s="1"/>
      <c r="NC29" s="1"/>
      <c r="ND29" s="1"/>
      <c r="NE29" s="1"/>
      <c r="NF29" s="1"/>
      <c r="NG29" s="1"/>
      <c r="NH29" s="1"/>
      <c r="NI29" s="1"/>
      <c r="NJ29" s="1"/>
      <c r="NK29" s="18">
        <f t="array" aca="1" ref="NK29" ca="1">SUMPRODUCT((OFFSET($A29,0,1,1,372)&lt;&gt;"")*(IF(OFFSET($A29,0,1,1,372)=$NX$16,0.5,IF(OFFSET($A29,0,1,1,372)=$NX$17,0.5,1))*(OFFSET($A$3,0,1,1,372))))</f>
        <v>5</v>
      </c>
      <c r="NL29" s="23"/>
      <c r="NM29" s="23"/>
      <c r="NN29" s="23"/>
      <c r="NO29" s="23"/>
      <c r="NP29" s="23"/>
      <c r="NQ29" s="23"/>
      <c r="NR29" s="23"/>
      <c r="NS29" s="23"/>
      <c r="NT29" s="23"/>
      <c r="NU29" s="23"/>
      <c r="NW29" s="14"/>
      <c r="NX29" s="14"/>
    </row>
    <row r="30" spans="1:388" x14ac:dyDescent="0.25">
      <c r="A30" s="1" t="s">
        <v>82</v>
      </c>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c r="KT30" s="1"/>
      <c r="KU30" s="1"/>
      <c r="KV30" s="1"/>
      <c r="KW30" s="1"/>
      <c r="KX30" s="1"/>
      <c r="KY30" s="1"/>
      <c r="KZ30" s="1"/>
      <c r="LA30" s="1"/>
      <c r="LB30" s="1"/>
      <c r="LC30" s="1"/>
      <c r="LD30" s="1"/>
      <c r="LE30" s="1"/>
      <c r="LF30" s="1"/>
      <c r="LG30" s="1"/>
      <c r="LH30" s="1"/>
      <c r="LI30" s="1"/>
      <c r="LJ30" s="1"/>
      <c r="LK30" s="1"/>
      <c r="LL30" s="1"/>
      <c r="LM30" s="1"/>
      <c r="LN30" s="1"/>
      <c r="LO30" s="1"/>
      <c r="LP30" s="1"/>
      <c r="LQ30" s="1"/>
      <c r="LR30" s="1"/>
      <c r="LS30" s="1"/>
      <c r="LT30" s="1"/>
      <c r="LU30" s="1"/>
      <c r="LV30" s="1"/>
      <c r="LW30" s="1"/>
      <c r="LX30" s="1"/>
      <c r="LY30" s="1"/>
      <c r="LZ30" s="1"/>
      <c r="MA30" s="1"/>
      <c r="MB30" s="1"/>
      <c r="MC30" s="1"/>
      <c r="MD30" s="1"/>
      <c r="ME30" s="1"/>
      <c r="MF30" s="1"/>
      <c r="MG30" s="1"/>
      <c r="MH30" s="1"/>
      <c r="MI30" s="1"/>
      <c r="MJ30" s="1"/>
      <c r="MK30" s="1"/>
      <c r="ML30" s="1"/>
      <c r="MM30" s="1"/>
      <c r="MN30" s="1"/>
      <c r="MO30" s="1"/>
      <c r="MP30" s="1"/>
      <c r="MQ30" s="1"/>
      <c r="MR30" s="1"/>
      <c r="MS30" s="1" t="s">
        <v>37</v>
      </c>
      <c r="MT30" s="1" t="s">
        <v>37</v>
      </c>
      <c r="MU30" s="1" t="s">
        <v>37</v>
      </c>
      <c r="MV30" s="1" t="s">
        <v>37</v>
      </c>
      <c r="MW30" s="1" t="s">
        <v>37</v>
      </c>
      <c r="MX30" s="1"/>
      <c r="MY30" s="1"/>
      <c r="MZ30" s="1"/>
      <c r="NA30" s="1"/>
      <c r="NB30" s="1"/>
      <c r="NC30" s="1"/>
      <c r="ND30" s="1"/>
      <c r="NE30" s="1"/>
      <c r="NF30" s="1"/>
      <c r="NG30" s="1"/>
      <c r="NH30" s="1"/>
      <c r="NI30" s="1"/>
      <c r="NJ30" s="1"/>
      <c r="NK30" s="18">
        <f t="array" aca="1" ref="NK30" ca="1">SUMPRODUCT((OFFSET($A30,0,1,1,372)&lt;&gt;"")*(IF(OFFSET($A30,0,1,1,372)=$NX$16,0.5,IF(OFFSET($A30,0,1,1,372)=$NX$17,0.5,1))*(OFFSET($A$3,0,1,1,372))))</f>
        <v>5</v>
      </c>
      <c r="NL30" s="23"/>
      <c r="NM30" s="23"/>
      <c r="NN30" s="23"/>
      <c r="NO30" s="23"/>
      <c r="NP30" s="23"/>
      <c r="NQ30" s="23"/>
      <c r="NR30" s="23"/>
      <c r="NS30" s="23"/>
      <c r="NT30" s="23"/>
      <c r="NU30" s="23"/>
      <c r="NW30" s="14"/>
      <c r="NX30" s="14"/>
    </row>
    <row r="31" spans="1:388" x14ac:dyDescent="0.25">
      <c r="A31" s="1" t="s">
        <v>83</v>
      </c>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c r="KT31" s="1"/>
      <c r="KU31" s="1"/>
      <c r="KV31" s="1"/>
      <c r="KW31" s="1"/>
      <c r="KX31" s="1"/>
      <c r="KY31" s="1"/>
      <c r="KZ31" s="1"/>
      <c r="LA31" s="1"/>
      <c r="LB31" s="1"/>
      <c r="LC31" s="1"/>
      <c r="LD31" s="1"/>
      <c r="LE31" s="1"/>
      <c r="LF31" s="1"/>
      <c r="LG31" s="1"/>
      <c r="LH31" s="1"/>
      <c r="LI31" s="1"/>
      <c r="LJ31" s="1"/>
      <c r="LK31" s="1"/>
      <c r="LL31" s="1"/>
      <c r="LM31" s="1"/>
      <c r="LN31" s="1"/>
      <c r="LO31" s="1"/>
      <c r="LP31" s="1"/>
      <c r="LQ31" s="1"/>
      <c r="LR31" s="1"/>
      <c r="LS31" s="1"/>
      <c r="LT31" s="1"/>
      <c r="LU31" s="1"/>
      <c r="LV31" s="1"/>
      <c r="LW31" s="1"/>
      <c r="LX31" s="1"/>
      <c r="LY31" s="1"/>
      <c r="LZ31" s="1"/>
      <c r="MA31" s="1"/>
      <c r="MB31" s="1"/>
      <c r="MC31" s="1"/>
      <c r="MD31" s="1"/>
      <c r="ME31" s="1"/>
      <c r="MF31" s="1"/>
      <c r="MG31" s="1"/>
      <c r="MH31" s="1"/>
      <c r="MI31" s="1"/>
      <c r="MJ31" s="1"/>
      <c r="MK31" s="1"/>
      <c r="ML31" s="1"/>
      <c r="MM31" s="1"/>
      <c r="MN31" s="1"/>
      <c r="MO31" s="1"/>
      <c r="MP31" s="1"/>
      <c r="MQ31" s="1"/>
      <c r="MR31" s="1"/>
      <c r="MS31" s="1" t="s">
        <v>37</v>
      </c>
      <c r="MT31" s="1" t="s">
        <v>37</v>
      </c>
      <c r="MU31" s="1" t="s">
        <v>37</v>
      </c>
      <c r="MV31" s="1" t="s">
        <v>37</v>
      </c>
      <c r="MW31" s="1" t="s">
        <v>37</v>
      </c>
      <c r="MX31" s="1"/>
      <c r="MY31" s="1"/>
      <c r="MZ31" s="1"/>
      <c r="NA31" s="1"/>
      <c r="NB31" s="1"/>
      <c r="NC31" s="1"/>
      <c r="ND31" s="1"/>
      <c r="NE31" s="1"/>
      <c r="NF31" s="1"/>
      <c r="NG31" s="1"/>
      <c r="NH31" s="1"/>
      <c r="NI31" s="1"/>
      <c r="NJ31" s="1"/>
      <c r="NK31" s="18">
        <f t="array" aca="1" ref="NK31" ca="1">SUMPRODUCT((OFFSET($A31,0,1,1,372)&lt;&gt;"")*(IF(OFFSET($A31,0,1,1,372)=$NX$16,0.5,IF(OFFSET($A31,0,1,1,372)=$NX$17,0.5,1))*(OFFSET($A$3,0,1,1,372))))</f>
        <v>5</v>
      </c>
      <c r="NL31" s="23"/>
      <c r="NM31" s="23"/>
      <c r="NN31" s="23"/>
      <c r="NO31" s="23"/>
      <c r="NP31" s="23"/>
      <c r="NQ31" s="23"/>
      <c r="NR31" s="23"/>
      <c r="NS31" s="23"/>
      <c r="NT31" s="23"/>
      <c r="NU31" s="23"/>
      <c r="NW31" s="14"/>
      <c r="NX31" s="14"/>
    </row>
    <row r="32" spans="1:388" x14ac:dyDescent="0.25">
      <c r="A32" s="1" t="s">
        <v>84</v>
      </c>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c r="KT32" s="1"/>
      <c r="KU32" s="1"/>
      <c r="KV32" s="1"/>
      <c r="KW32" s="1"/>
      <c r="KX32" s="1"/>
      <c r="KY32" s="1"/>
      <c r="KZ32" s="1"/>
      <c r="LA32" s="1"/>
      <c r="LB32" s="1"/>
      <c r="LC32" s="1"/>
      <c r="LD32" s="1"/>
      <c r="LE32" s="1"/>
      <c r="LF32" s="1"/>
      <c r="LG32" s="1"/>
      <c r="LH32" s="1"/>
      <c r="LI32" s="1"/>
      <c r="LJ32" s="1"/>
      <c r="LK32" s="1"/>
      <c r="LL32" s="1"/>
      <c r="LM32" s="1"/>
      <c r="LN32" s="1"/>
      <c r="LO32" s="1"/>
      <c r="LP32" s="1"/>
      <c r="LQ32" s="1"/>
      <c r="LR32" s="1"/>
      <c r="LS32" s="1"/>
      <c r="LT32" s="1"/>
      <c r="LU32" s="1"/>
      <c r="LV32" s="1"/>
      <c r="LW32" s="1"/>
      <c r="LX32" s="1"/>
      <c r="LY32" s="1"/>
      <c r="LZ32" s="1"/>
      <c r="MA32" s="1"/>
      <c r="MB32" s="1"/>
      <c r="MC32" s="1"/>
      <c r="MD32" s="1"/>
      <c r="ME32" s="1"/>
      <c r="MF32" s="1"/>
      <c r="MG32" s="1"/>
      <c r="MH32" s="1"/>
      <c r="MI32" s="1"/>
      <c r="MJ32" s="1"/>
      <c r="MK32" s="1"/>
      <c r="ML32" s="1"/>
      <c r="MM32" s="1"/>
      <c r="MN32" s="1"/>
      <c r="MO32" s="1"/>
      <c r="MP32" s="1"/>
      <c r="MQ32" s="1"/>
      <c r="MR32" s="1"/>
      <c r="MS32" s="1" t="s">
        <v>37</v>
      </c>
      <c r="MT32" s="1" t="s">
        <v>37</v>
      </c>
      <c r="MU32" s="1" t="s">
        <v>37</v>
      </c>
      <c r="MV32" s="1" t="s">
        <v>37</v>
      </c>
      <c r="MW32" s="1" t="s">
        <v>37</v>
      </c>
      <c r="MX32" s="1"/>
      <c r="MY32" s="1"/>
      <c r="MZ32" s="1"/>
      <c r="NA32" s="1"/>
      <c r="NB32" s="1"/>
      <c r="NC32" s="1"/>
      <c r="ND32" s="1"/>
      <c r="NE32" s="1"/>
      <c r="NF32" s="1"/>
      <c r="NG32" s="1"/>
      <c r="NH32" s="1"/>
      <c r="NI32" s="1"/>
      <c r="NJ32" s="1"/>
      <c r="NK32" s="18">
        <f t="array" aca="1" ref="NK32" ca="1">SUMPRODUCT((OFFSET($A32,0,1,1,372)&lt;&gt;"")*(IF(OFFSET($A32,0,1,1,372)=$NX$16,0.5,IF(OFFSET($A32,0,1,1,372)=$NX$17,0.5,1))*(OFFSET($A$3,0,1,1,372))))</f>
        <v>5</v>
      </c>
      <c r="NL32" s="23"/>
      <c r="NM32" s="23"/>
      <c r="NN32" s="23"/>
      <c r="NO32" s="23"/>
      <c r="NP32" s="23"/>
      <c r="NQ32" s="23"/>
      <c r="NR32" s="23"/>
      <c r="NS32" s="23"/>
      <c r="NT32" s="23"/>
      <c r="NU32" s="23"/>
      <c r="NW32" s="14"/>
      <c r="NX32" s="14"/>
    </row>
    <row r="33" spans="1:388" x14ac:dyDescent="0.25">
      <c r="A33" s="1" t="s">
        <v>85</v>
      </c>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t="s">
        <v>37</v>
      </c>
      <c r="MT33" s="1" t="s">
        <v>37</v>
      </c>
      <c r="MU33" s="1" t="s">
        <v>37</v>
      </c>
      <c r="MV33" s="1" t="s">
        <v>37</v>
      </c>
      <c r="MW33" s="1" t="s">
        <v>37</v>
      </c>
      <c r="MX33" s="1"/>
      <c r="MY33" s="1"/>
      <c r="MZ33" s="1"/>
      <c r="NA33" s="1"/>
      <c r="NB33" s="1"/>
      <c r="NC33" s="1"/>
      <c r="ND33" s="1"/>
      <c r="NE33" s="1"/>
      <c r="NF33" s="1"/>
      <c r="NG33" s="1"/>
      <c r="NH33" s="1"/>
      <c r="NI33" s="1"/>
      <c r="NJ33" s="1"/>
      <c r="NK33" s="18">
        <f t="array" aca="1" ref="NK33" ca="1">SUMPRODUCT((OFFSET($A33,0,1,1,372)&lt;&gt;"")*(IF(OFFSET($A33,0,1,1,372)=$NX$16,0.5,IF(OFFSET($A33,0,1,1,372)=$NX$17,0.5,1))*(OFFSET($A$3,0,1,1,372))))</f>
        <v>5</v>
      </c>
      <c r="NL33" s="23"/>
      <c r="NM33" s="23"/>
      <c r="NN33" s="23"/>
      <c r="NO33" s="23"/>
      <c r="NP33" s="23"/>
      <c r="NQ33" s="23"/>
      <c r="NR33" s="23"/>
      <c r="NS33" s="23"/>
      <c r="NT33" s="23"/>
      <c r="NU33" s="23"/>
      <c r="NW33" s="14"/>
      <c r="NX33" s="14"/>
    </row>
    <row r="34" spans="1:388" x14ac:dyDescent="0.25">
      <c r="A34" s="1" t="s">
        <v>86</v>
      </c>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c r="KT34" s="1"/>
      <c r="KU34" s="1"/>
      <c r="KV34" s="1"/>
      <c r="KW34" s="1"/>
      <c r="KX34" s="1"/>
      <c r="KY34" s="1"/>
      <c r="KZ34" s="1"/>
      <c r="LA34" s="1"/>
      <c r="LB34" s="1"/>
      <c r="LC34" s="1"/>
      <c r="LD34" s="1"/>
      <c r="LE34" s="1"/>
      <c r="LF34" s="1"/>
      <c r="LG34" s="1"/>
      <c r="LH34" s="1"/>
      <c r="LI34" s="1"/>
      <c r="LJ34" s="1"/>
      <c r="LK34" s="1"/>
      <c r="LL34" s="1"/>
      <c r="LM34" s="1"/>
      <c r="LN34" s="1"/>
      <c r="LO34" s="1"/>
      <c r="LP34" s="1"/>
      <c r="LQ34" s="1"/>
      <c r="LR34" s="1"/>
      <c r="LS34" s="1"/>
      <c r="LT34" s="1"/>
      <c r="LU34" s="1"/>
      <c r="LV34" s="1"/>
      <c r="LW34" s="1"/>
      <c r="LX34" s="1"/>
      <c r="LY34" s="1"/>
      <c r="LZ34" s="1"/>
      <c r="MA34" s="1"/>
      <c r="MB34" s="1"/>
      <c r="MC34" s="1"/>
      <c r="MD34" s="1"/>
      <c r="ME34" s="1"/>
      <c r="MF34" s="1"/>
      <c r="MG34" s="1"/>
      <c r="MH34" s="1"/>
      <c r="MI34" s="1"/>
      <c r="MJ34" s="1"/>
      <c r="MK34" s="1"/>
      <c r="ML34" s="1"/>
      <c r="MM34" s="1"/>
      <c r="MN34" s="1"/>
      <c r="MO34" s="1"/>
      <c r="MP34" s="1"/>
      <c r="MQ34" s="1"/>
      <c r="MR34" s="1"/>
      <c r="MS34" s="1" t="s">
        <v>37</v>
      </c>
      <c r="MT34" s="1" t="s">
        <v>37</v>
      </c>
      <c r="MU34" s="1" t="s">
        <v>37</v>
      </c>
      <c r="MV34" s="1" t="s">
        <v>37</v>
      </c>
      <c r="MW34" s="1" t="s">
        <v>37</v>
      </c>
      <c r="MX34" s="1"/>
      <c r="MY34" s="1"/>
      <c r="MZ34" s="1"/>
      <c r="NA34" s="1"/>
      <c r="NB34" s="1"/>
      <c r="NC34" s="1"/>
      <c r="ND34" s="1"/>
      <c r="NE34" s="1"/>
      <c r="NF34" s="1"/>
      <c r="NG34" s="1"/>
      <c r="NH34" s="1"/>
      <c r="NI34" s="1"/>
      <c r="NJ34" s="1"/>
      <c r="NK34" s="18">
        <f t="array" aca="1" ref="NK34" ca="1">SUMPRODUCT((OFFSET($A34,0,1,1,372)&lt;&gt;"")*(IF(OFFSET($A34,0,1,1,372)=$NX$16,0.5,IF(OFFSET($A34,0,1,1,372)=$NX$17,0.5,1))*(OFFSET($A$3,0,1,1,372))))</f>
        <v>5</v>
      </c>
      <c r="NL34" s="23"/>
      <c r="NM34" s="23"/>
      <c r="NN34" s="23"/>
      <c r="NO34" s="23"/>
      <c r="NP34" s="23"/>
      <c r="NQ34" s="23"/>
      <c r="NR34" s="23"/>
      <c r="NS34" s="23"/>
      <c r="NT34" s="23"/>
      <c r="NU34" s="23"/>
      <c r="NW34" s="14"/>
      <c r="NX34" s="14"/>
    </row>
    <row r="35" spans="1:388" x14ac:dyDescent="0.25">
      <c r="A35" s="1" t="s">
        <v>87</v>
      </c>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c r="KT35" s="1"/>
      <c r="KU35" s="1"/>
      <c r="KV35" s="1"/>
      <c r="KW35" s="1"/>
      <c r="KX35" s="1"/>
      <c r="KY35" s="1"/>
      <c r="KZ35" s="1"/>
      <c r="LA35" s="1"/>
      <c r="LB35" s="1"/>
      <c r="LC35" s="1"/>
      <c r="LD35" s="1"/>
      <c r="LE35" s="1"/>
      <c r="LF35" s="1"/>
      <c r="LG35" s="1"/>
      <c r="LH35" s="1"/>
      <c r="LI35" s="1"/>
      <c r="LJ35" s="1"/>
      <c r="LK35" s="1"/>
      <c r="LL35" s="1"/>
      <c r="LM35" s="1"/>
      <c r="LN35" s="1"/>
      <c r="LO35" s="1"/>
      <c r="LP35" s="1"/>
      <c r="LQ35" s="1"/>
      <c r="LR35" s="1"/>
      <c r="LS35" s="1"/>
      <c r="LT35" s="1"/>
      <c r="LU35" s="1"/>
      <c r="LV35" s="1"/>
      <c r="LW35" s="1"/>
      <c r="LX35" s="1"/>
      <c r="LY35" s="1"/>
      <c r="LZ35" s="1"/>
      <c r="MA35" s="1"/>
      <c r="MB35" s="1"/>
      <c r="MC35" s="1"/>
      <c r="MD35" s="1"/>
      <c r="ME35" s="1"/>
      <c r="MF35" s="1"/>
      <c r="MG35" s="1"/>
      <c r="MH35" s="1"/>
      <c r="MI35" s="1"/>
      <c r="MJ35" s="1"/>
      <c r="MK35" s="1"/>
      <c r="ML35" s="1"/>
      <c r="MM35" s="1"/>
      <c r="MN35" s="1"/>
      <c r="MO35" s="1"/>
      <c r="MP35" s="1"/>
      <c r="MQ35" s="1"/>
      <c r="MR35" s="1"/>
      <c r="MS35" s="1" t="s">
        <v>37</v>
      </c>
      <c r="MT35" s="1" t="s">
        <v>37</v>
      </c>
      <c r="MU35" s="1" t="s">
        <v>37</v>
      </c>
      <c r="MV35" s="1" t="s">
        <v>37</v>
      </c>
      <c r="MW35" s="1" t="s">
        <v>37</v>
      </c>
      <c r="MX35" s="1"/>
      <c r="MY35" s="1"/>
      <c r="MZ35" s="1"/>
      <c r="NA35" s="1"/>
      <c r="NB35" s="1"/>
      <c r="NC35" s="1"/>
      <c r="ND35" s="1"/>
      <c r="NE35" s="1"/>
      <c r="NF35" s="1"/>
      <c r="NG35" s="1"/>
      <c r="NH35" s="1"/>
      <c r="NI35" s="1"/>
      <c r="NJ35" s="1"/>
      <c r="NK35" s="18">
        <f t="array" aca="1" ref="NK35" ca="1">SUMPRODUCT((OFFSET($A35,0,1,1,372)&lt;&gt;"")*(IF(OFFSET($A35,0,1,1,372)=$NX$16,0.5,IF(OFFSET($A35,0,1,1,372)=$NX$17,0.5,1))*(OFFSET($A$3,0,1,1,372))))</f>
        <v>5</v>
      </c>
      <c r="NL35" s="23">
        <f t="shared" ref="NL35:NU49" ca="1" si="8">SUMPRODUCT((OFFSET($A35,0,1,1,372)&lt;&gt;"")*(OFFSET($A$3,0,1,1,372))*((OFFSET($A35,0,1,1,372))=NL$5))</f>
        <v>0</v>
      </c>
      <c r="NM35" s="23">
        <f t="shared" ca="1" si="8"/>
        <v>0</v>
      </c>
      <c r="NN35" s="23">
        <f t="shared" ca="1" si="8"/>
        <v>0</v>
      </c>
      <c r="NO35" s="23">
        <f t="shared" ca="1" si="8"/>
        <v>5</v>
      </c>
      <c r="NP35" s="23">
        <f t="shared" ca="1" si="8"/>
        <v>0</v>
      </c>
      <c r="NQ35" s="23">
        <f t="shared" ca="1" si="8"/>
        <v>0</v>
      </c>
      <c r="NR35" s="23">
        <f t="shared" ca="1" si="8"/>
        <v>0</v>
      </c>
      <c r="NS35" s="23">
        <f t="shared" ca="1" si="8"/>
        <v>0</v>
      </c>
      <c r="NT35" s="23">
        <f t="shared" ca="1" si="8"/>
        <v>0</v>
      </c>
      <c r="NU35" s="23">
        <f t="shared" ca="1" si="8"/>
        <v>0</v>
      </c>
      <c r="NW35" s="14" t="s">
        <v>17</v>
      </c>
      <c r="NX35" s="14" t="s">
        <v>31</v>
      </c>
    </row>
    <row r="36" spans="1:388" x14ac:dyDescent="0.25">
      <c r="A36" s="1" t="s">
        <v>88</v>
      </c>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c r="KT36" s="1"/>
      <c r="KU36" s="1"/>
      <c r="KV36" s="1"/>
      <c r="KW36" s="1"/>
      <c r="KX36" s="1"/>
      <c r="KY36" s="1"/>
      <c r="KZ36" s="1"/>
      <c r="LA36" s="1"/>
      <c r="LB36" s="1"/>
      <c r="LC36" s="1"/>
      <c r="LD36" s="1"/>
      <c r="LE36" s="1"/>
      <c r="LF36" s="1"/>
      <c r="LG36" s="1"/>
      <c r="LH36" s="1"/>
      <c r="LI36" s="1"/>
      <c r="LJ36" s="1"/>
      <c r="LK36" s="1"/>
      <c r="LL36" s="1"/>
      <c r="LM36" s="1"/>
      <c r="LN36" s="1"/>
      <c r="LO36" s="1"/>
      <c r="LP36" s="1"/>
      <c r="LQ36" s="1"/>
      <c r="LR36" s="1"/>
      <c r="LS36" s="1"/>
      <c r="LT36" s="1"/>
      <c r="LU36" s="1"/>
      <c r="LV36" s="1"/>
      <c r="LW36" s="1"/>
      <c r="LX36" s="1"/>
      <c r="LY36" s="1"/>
      <c r="LZ36" s="1"/>
      <c r="MA36" s="1"/>
      <c r="MB36" s="1"/>
      <c r="MC36" s="1"/>
      <c r="MD36" s="1"/>
      <c r="ME36" s="1"/>
      <c r="MF36" s="1"/>
      <c r="MG36" s="1"/>
      <c r="MH36" s="1"/>
      <c r="MI36" s="1"/>
      <c r="MJ36" s="1"/>
      <c r="MK36" s="1"/>
      <c r="ML36" s="1"/>
      <c r="MM36" s="1"/>
      <c r="MN36" s="1"/>
      <c r="MO36" s="1"/>
      <c r="MP36" s="1"/>
      <c r="MQ36" s="1"/>
      <c r="MR36" s="1"/>
      <c r="MS36" s="1" t="s">
        <v>37</v>
      </c>
      <c r="MT36" s="1" t="s">
        <v>37</v>
      </c>
      <c r="MU36" s="1" t="s">
        <v>37</v>
      </c>
      <c r="MV36" s="1" t="s">
        <v>37</v>
      </c>
      <c r="MW36" s="1" t="s">
        <v>37</v>
      </c>
      <c r="MX36" s="1"/>
      <c r="MY36" s="1"/>
      <c r="MZ36" s="1"/>
      <c r="NA36" s="1"/>
      <c r="NB36" s="1"/>
      <c r="NC36" s="1"/>
      <c r="ND36" s="1"/>
      <c r="NE36" s="1"/>
      <c r="NF36" s="1"/>
      <c r="NG36" s="1"/>
      <c r="NH36" s="1"/>
      <c r="NI36" s="1"/>
      <c r="NK36" s="18">
        <f t="array" aca="1" ref="NK36" ca="1">SUMPRODUCT((OFFSET($A36,0,1,1,372)&lt;&gt;"")*(IF(OFFSET($A36,0,1,1,372)=$NX$16,0.5,IF(OFFSET($A36,0,1,1,372)=$NX$17,0.5,1))*(OFFSET($A$3,0,1,1,372))))</f>
        <v>5</v>
      </c>
      <c r="NL36" s="23">
        <f t="shared" ca="1" si="8"/>
        <v>0</v>
      </c>
      <c r="NM36" s="23">
        <f t="shared" ca="1" si="8"/>
        <v>0</v>
      </c>
      <c r="NN36" s="23">
        <f t="shared" ca="1" si="8"/>
        <v>0</v>
      </c>
      <c r="NO36" s="23">
        <f t="shared" ca="1" si="8"/>
        <v>5</v>
      </c>
      <c r="NP36" s="23">
        <f t="shared" ca="1" si="8"/>
        <v>0</v>
      </c>
      <c r="NQ36" s="23">
        <f t="shared" ca="1" si="8"/>
        <v>0</v>
      </c>
      <c r="NR36" s="23">
        <f t="shared" ca="1" si="8"/>
        <v>0</v>
      </c>
      <c r="NS36" s="23">
        <f t="shared" ca="1" si="8"/>
        <v>0</v>
      </c>
      <c r="NT36" s="23">
        <f t="shared" ca="1" si="8"/>
        <v>0</v>
      </c>
      <c r="NU36" s="23">
        <f t="shared" ca="1" si="8"/>
        <v>0</v>
      </c>
    </row>
    <row r="37" spans="1:388" x14ac:dyDescent="0.25">
      <c r="A37" s="1" t="s">
        <v>89</v>
      </c>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c r="KT37" s="1"/>
      <c r="KU37" s="1"/>
      <c r="KV37" s="1"/>
      <c r="KW37" s="1"/>
      <c r="KX37" s="1"/>
      <c r="KY37" s="1"/>
      <c r="KZ37" s="1"/>
      <c r="LA37" s="1"/>
      <c r="LB37" s="1"/>
      <c r="LC37" s="1"/>
      <c r="LD37" s="1"/>
      <c r="LE37" s="1"/>
      <c r="LF37" s="1"/>
      <c r="LG37" s="1"/>
      <c r="LH37" s="1"/>
      <c r="LI37" s="1"/>
      <c r="LJ37" s="1"/>
      <c r="LK37" s="1"/>
      <c r="LL37" s="1"/>
      <c r="LM37" s="1"/>
      <c r="LN37" s="1"/>
      <c r="LO37" s="1"/>
      <c r="LP37" s="1"/>
      <c r="LQ37" s="1"/>
      <c r="LR37" s="1"/>
      <c r="LS37" s="1"/>
      <c r="LT37" s="1"/>
      <c r="LU37" s="1"/>
      <c r="LV37" s="1"/>
      <c r="LW37" s="1"/>
      <c r="LX37" s="1"/>
      <c r="LY37" s="1"/>
      <c r="LZ37" s="1"/>
      <c r="MA37" s="1"/>
      <c r="MB37" s="1"/>
      <c r="MC37" s="1"/>
      <c r="MD37" s="1"/>
      <c r="ME37" s="1"/>
      <c r="MF37" s="1"/>
      <c r="MG37" s="1"/>
      <c r="MH37" s="1"/>
      <c r="MI37" s="1"/>
      <c r="MJ37" s="1"/>
      <c r="MK37" s="1"/>
      <c r="ML37" s="1"/>
      <c r="MM37" s="1"/>
      <c r="MN37" s="1"/>
      <c r="MO37" s="1"/>
      <c r="MP37" s="1"/>
      <c r="MQ37" s="1"/>
      <c r="MR37" s="1"/>
      <c r="MS37" s="1" t="s">
        <v>37</v>
      </c>
      <c r="MT37" s="1" t="s">
        <v>37</v>
      </c>
      <c r="MU37" s="1" t="s">
        <v>37</v>
      </c>
      <c r="MV37" s="1" t="s">
        <v>37</v>
      </c>
      <c r="MW37" s="1" t="s">
        <v>37</v>
      </c>
      <c r="MX37" s="1"/>
      <c r="MY37" s="1"/>
      <c r="MZ37" s="1"/>
      <c r="NA37" s="1"/>
      <c r="NB37" s="1"/>
      <c r="NC37" s="1"/>
      <c r="ND37" s="1"/>
      <c r="NE37" s="1"/>
      <c r="NF37" s="1"/>
      <c r="NG37" s="1"/>
      <c r="NH37" s="1"/>
      <c r="NI37" s="1"/>
      <c r="NK37" s="18">
        <f t="array" aca="1" ref="NK37" ca="1">SUMPRODUCT((OFFSET($A37,0,1,1,372)&lt;&gt;"")*(IF(OFFSET($A37,0,1,1,372)=$NX$16,0.5,IF(OFFSET($A37,0,1,1,372)=$NX$17,0.5,1))*(OFFSET($A$3,0,1,1,372))))</f>
        <v>5</v>
      </c>
      <c r="NL37" s="23">
        <f t="shared" ca="1" si="8"/>
        <v>0</v>
      </c>
      <c r="NM37" s="23">
        <f t="shared" ca="1" si="8"/>
        <v>0</v>
      </c>
      <c r="NN37" s="23">
        <f t="shared" ca="1" si="8"/>
        <v>0</v>
      </c>
      <c r="NO37" s="23">
        <f t="shared" ca="1" si="8"/>
        <v>5</v>
      </c>
      <c r="NP37" s="23">
        <f t="shared" ca="1" si="8"/>
        <v>0</v>
      </c>
      <c r="NQ37" s="23">
        <f t="shared" ca="1" si="8"/>
        <v>0</v>
      </c>
      <c r="NR37" s="23">
        <f t="shared" ca="1" si="8"/>
        <v>0</v>
      </c>
      <c r="NS37" s="23">
        <f t="shared" ca="1" si="8"/>
        <v>0</v>
      </c>
      <c r="NT37" s="23">
        <f t="shared" ca="1" si="8"/>
        <v>0</v>
      </c>
      <c r="NU37" s="23">
        <f t="shared" ca="1" si="8"/>
        <v>0</v>
      </c>
    </row>
    <row r="38" spans="1:388" x14ac:dyDescent="0.25">
      <c r="A38" s="1" t="s">
        <v>90</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c r="KT38" s="1"/>
      <c r="KU38" s="1"/>
      <c r="KV38" s="1"/>
      <c r="KW38" s="1"/>
      <c r="KX38" s="1"/>
      <c r="KY38" s="1"/>
      <c r="KZ38" s="1"/>
      <c r="LA38" s="1"/>
      <c r="LB38" s="1"/>
      <c r="LC38" s="1"/>
      <c r="LD38" s="1"/>
      <c r="LE38" s="1"/>
      <c r="LF38" s="1"/>
      <c r="LG38" s="1"/>
      <c r="LH38" s="1"/>
      <c r="LI38" s="1"/>
      <c r="LJ38" s="1"/>
      <c r="LK38" s="1"/>
      <c r="LL38" s="1"/>
      <c r="LM38" s="1"/>
      <c r="LN38" s="1"/>
      <c r="LO38" s="1"/>
      <c r="LP38" s="1"/>
      <c r="LQ38" s="1"/>
      <c r="LR38" s="1"/>
      <c r="LS38" s="1"/>
      <c r="LT38" s="1"/>
      <c r="LU38" s="1"/>
      <c r="LV38" s="1"/>
      <c r="LW38" s="1"/>
      <c r="LX38" s="1"/>
      <c r="LY38" s="1"/>
      <c r="LZ38" s="1"/>
      <c r="MA38" s="1"/>
      <c r="MB38" s="1"/>
      <c r="MC38" s="1"/>
      <c r="MD38" s="1"/>
      <c r="ME38" s="1"/>
      <c r="MF38" s="1"/>
      <c r="MG38" s="1"/>
      <c r="MH38" s="1"/>
      <c r="MI38" s="1"/>
      <c r="MJ38" s="1"/>
      <c r="MK38" s="1"/>
      <c r="ML38" s="1"/>
      <c r="MM38" s="1"/>
      <c r="MN38" s="1"/>
      <c r="MO38" s="1"/>
      <c r="MP38" s="1"/>
      <c r="MQ38" s="1"/>
      <c r="MR38" s="1"/>
      <c r="MS38" s="1" t="s">
        <v>37</v>
      </c>
      <c r="MT38" s="1" t="s">
        <v>37</v>
      </c>
      <c r="MU38" s="1" t="s">
        <v>37</v>
      </c>
      <c r="MV38" s="1" t="s">
        <v>37</v>
      </c>
      <c r="MW38" s="1" t="s">
        <v>37</v>
      </c>
      <c r="MX38" s="1"/>
      <c r="MY38" s="1"/>
      <c r="MZ38" s="1"/>
      <c r="NA38" s="1"/>
      <c r="NB38" s="1"/>
      <c r="NC38" s="1"/>
      <c r="ND38" s="1"/>
      <c r="NE38" s="1"/>
      <c r="NF38" s="1"/>
      <c r="NG38" s="1"/>
      <c r="NH38" s="1"/>
      <c r="NI38" s="1"/>
      <c r="NK38" s="18">
        <f t="array" aca="1" ref="NK38" ca="1">SUMPRODUCT((OFFSET($A38,0,1,1,372)&lt;&gt;"")*(IF(OFFSET($A38,0,1,1,372)=$NX$16,0.5,IF(OFFSET($A38,0,1,1,372)=$NX$17,0.5,1))*(OFFSET($A$3,0,1,1,372))))</f>
        <v>5</v>
      </c>
      <c r="NL38" s="23">
        <f t="shared" ca="1" si="8"/>
        <v>0</v>
      </c>
      <c r="NM38" s="23">
        <f t="shared" ca="1" si="8"/>
        <v>0</v>
      </c>
      <c r="NN38" s="23">
        <f t="shared" ca="1" si="8"/>
        <v>0</v>
      </c>
      <c r="NO38" s="23">
        <f t="shared" ca="1" si="8"/>
        <v>5</v>
      </c>
      <c r="NP38" s="23">
        <f t="shared" ca="1" si="8"/>
        <v>0</v>
      </c>
      <c r="NQ38" s="23">
        <f t="shared" ca="1" si="8"/>
        <v>0</v>
      </c>
      <c r="NR38" s="23">
        <f t="shared" ca="1" si="8"/>
        <v>0</v>
      </c>
      <c r="NS38" s="23">
        <f t="shared" ca="1" si="8"/>
        <v>0</v>
      </c>
      <c r="NT38" s="23">
        <f t="shared" ca="1" si="8"/>
        <v>0</v>
      </c>
      <c r="NU38" s="23">
        <f t="shared" ca="1" si="8"/>
        <v>0</v>
      </c>
    </row>
    <row r="39" spans="1:388" x14ac:dyDescent="0.25">
      <c r="A39" s="1" t="s">
        <v>91</v>
      </c>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t="s">
        <v>37</v>
      </c>
      <c r="MT39" s="1" t="s">
        <v>37</v>
      </c>
      <c r="MU39" s="1" t="s">
        <v>37</v>
      </c>
      <c r="MV39" s="1" t="s">
        <v>37</v>
      </c>
      <c r="MW39" s="1" t="s">
        <v>37</v>
      </c>
      <c r="MX39" s="1"/>
      <c r="MY39" s="1"/>
      <c r="MZ39" s="1"/>
      <c r="NA39" s="1"/>
      <c r="NB39" s="1"/>
      <c r="NC39" s="1"/>
      <c r="ND39" s="1"/>
      <c r="NE39" s="1"/>
      <c r="NF39" s="1"/>
      <c r="NG39" s="1"/>
      <c r="NH39" s="1"/>
      <c r="NI39" s="1"/>
      <c r="NK39" s="18">
        <f t="array" aca="1" ref="NK39" ca="1">SUMPRODUCT((OFFSET($A39,0,1,1,372)&lt;&gt;"")*(IF(OFFSET($A39,0,1,1,372)=$NX$16,0.5,IF(OFFSET($A39,0,1,1,372)=$NX$17,0.5,1))*(OFFSET($A$3,0,1,1,372))))</f>
        <v>5</v>
      </c>
      <c r="NL39" s="23">
        <f t="shared" ca="1" si="8"/>
        <v>0</v>
      </c>
      <c r="NM39" s="23">
        <f t="shared" ca="1" si="8"/>
        <v>0</v>
      </c>
      <c r="NN39" s="23">
        <f t="shared" ca="1" si="8"/>
        <v>0</v>
      </c>
      <c r="NO39" s="23">
        <f t="shared" ca="1" si="8"/>
        <v>5</v>
      </c>
      <c r="NP39" s="23">
        <f t="shared" ca="1" si="8"/>
        <v>0</v>
      </c>
      <c r="NQ39" s="23">
        <f t="shared" ca="1" si="8"/>
        <v>0</v>
      </c>
      <c r="NR39" s="23">
        <f t="shared" ca="1" si="8"/>
        <v>0</v>
      </c>
      <c r="NS39" s="23">
        <f t="shared" ca="1" si="8"/>
        <v>0</v>
      </c>
      <c r="NT39" s="23">
        <f t="shared" ca="1" si="8"/>
        <v>0</v>
      </c>
      <c r="NU39" s="23">
        <f t="shared" ca="1" si="8"/>
        <v>0</v>
      </c>
    </row>
    <row r="40" spans="1:388" x14ac:dyDescent="0.25">
      <c r="A40" s="1" t="s">
        <v>92</v>
      </c>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t="s">
        <v>37</v>
      </c>
      <c r="MT40" s="1" t="s">
        <v>37</v>
      </c>
      <c r="MU40" s="1" t="s">
        <v>37</v>
      </c>
      <c r="MV40" s="1" t="s">
        <v>37</v>
      </c>
      <c r="MW40" s="1" t="s">
        <v>37</v>
      </c>
      <c r="MX40" s="1"/>
      <c r="MY40" s="1"/>
      <c r="MZ40" s="1"/>
      <c r="NA40" s="1"/>
      <c r="NB40" s="1"/>
      <c r="NC40" s="1"/>
      <c r="ND40" s="1"/>
      <c r="NE40" s="1"/>
      <c r="NF40" s="1"/>
      <c r="NG40" s="1"/>
      <c r="NH40" s="1"/>
      <c r="NI40" s="1"/>
      <c r="NK40" s="18">
        <f t="array" aca="1" ref="NK40" ca="1">SUMPRODUCT((OFFSET($A40,0,1,1,372)&lt;&gt;"")*(IF(OFFSET($A40,0,1,1,372)=$NX$16,0.5,IF(OFFSET($A40,0,1,1,372)=$NX$17,0.5,1))*(OFFSET($A$3,0,1,1,372))))</f>
        <v>5</v>
      </c>
      <c r="NL40" s="23">
        <f t="shared" ca="1" si="8"/>
        <v>0</v>
      </c>
      <c r="NM40" s="23">
        <f t="shared" ca="1" si="8"/>
        <v>0</v>
      </c>
      <c r="NN40" s="23">
        <f t="shared" ca="1" si="8"/>
        <v>0</v>
      </c>
      <c r="NO40" s="23">
        <f t="shared" ca="1" si="8"/>
        <v>5</v>
      </c>
      <c r="NP40" s="23">
        <f t="shared" ca="1" si="8"/>
        <v>0</v>
      </c>
      <c r="NQ40" s="23">
        <f t="shared" ca="1" si="8"/>
        <v>0</v>
      </c>
      <c r="NR40" s="23">
        <f t="shared" ca="1" si="8"/>
        <v>0</v>
      </c>
      <c r="NS40" s="23">
        <f t="shared" ca="1" si="8"/>
        <v>0</v>
      </c>
      <c r="NT40" s="23">
        <f t="shared" ca="1" si="8"/>
        <v>0</v>
      </c>
      <c r="NU40" s="23">
        <f t="shared" ca="1" si="8"/>
        <v>0</v>
      </c>
    </row>
    <row r="41" spans="1:388" x14ac:dyDescent="0.25">
      <c r="A41" s="1" t="s">
        <v>93</v>
      </c>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t="s">
        <v>37</v>
      </c>
      <c r="MT41" s="1" t="s">
        <v>37</v>
      </c>
      <c r="MU41" s="1" t="s">
        <v>37</v>
      </c>
      <c r="MV41" s="1" t="s">
        <v>37</v>
      </c>
      <c r="MW41" s="1" t="s">
        <v>37</v>
      </c>
      <c r="MX41" s="1"/>
      <c r="MY41" s="1"/>
      <c r="MZ41" s="1"/>
      <c r="NA41" s="1"/>
      <c r="NB41" s="1"/>
      <c r="NC41" s="1"/>
      <c r="ND41" s="1"/>
      <c r="NE41" s="1"/>
      <c r="NF41" s="1"/>
      <c r="NG41" s="1"/>
      <c r="NH41" s="1"/>
      <c r="NI41" s="1"/>
      <c r="NK41" s="18">
        <f t="array" aca="1" ref="NK41" ca="1">SUMPRODUCT((OFFSET($A41,0,1,1,372)&lt;&gt;"")*(IF(OFFSET($A41,0,1,1,372)=$NX$16,0.5,IF(OFFSET($A41,0,1,1,372)=$NX$17,0.5,1))*(OFFSET($A$3,0,1,1,372))))</f>
        <v>5</v>
      </c>
      <c r="NL41" s="23">
        <f t="shared" ca="1" si="8"/>
        <v>0</v>
      </c>
      <c r="NM41" s="23">
        <f t="shared" ca="1" si="8"/>
        <v>0</v>
      </c>
      <c r="NN41" s="23">
        <f t="shared" ca="1" si="8"/>
        <v>0</v>
      </c>
      <c r="NO41" s="23">
        <f t="shared" ca="1" si="8"/>
        <v>5</v>
      </c>
      <c r="NP41" s="23">
        <f t="shared" ca="1" si="8"/>
        <v>0</v>
      </c>
      <c r="NQ41" s="23">
        <f t="shared" ca="1" si="8"/>
        <v>0</v>
      </c>
      <c r="NR41" s="23">
        <f t="shared" ca="1" si="8"/>
        <v>0</v>
      </c>
      <c r="NS41" s="23">
        <f t="shared" ca="1" si="8"/>
        <v>0</v>
      </c>
      <c r="NT41" s="23">
        <f t="shared" ca="1" si="8"/>
        <v>0</v>
      </c>
      <c r="NU41" s="23">
        <f t="shared" ca="1" si="8"/>
        <v>0</v>
      </c>
    </row>
    <row r="42" spans="1:388" x14ac:dyDescent="0.25">
      <c r="A42" s="1" t="s">
        <v>94</v>
      </c>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t="s">
        <v>37</v>
      </c>
      <c r="MT42" s="1" t="s">
        <v>37</v>
      </c>
      <c r="MU42" s="1" t="s">
        <v>37</v>
      </c>
      <c r="MV42" s="1" t="s">
        <v>37</v>
      </c>
      <c r="MW42" s="1" t="s">
        <v>37</v>
      </c>
      <c r="MX42" s="1"/>
      <c r="MY42" s="1"/>
      <c r="MZ42" s="1"/>
      <c r="NA42" s="1"/>
      <c r="NB42" s="1"/>
      <c r="NC42" s="1"/>
      <c r="ND42" s="1"/>
      <c r="NE42" s="1"/>
      <c r="NF42" s="1"/>
      <c r="NG42" s="1"/>
      <c r="NH42" s="1"/>
      <c r="NI42" s="1"/>
      <c r="NK42" s="18">
        <f t="array" aca="1" ref="NK42" ca="1">SUMPRODUCT((OFFSET($A42,0,1,1,372)&lt;&gt;"")*(IF(OFFSET($A42,0,1,1,372)=$NX$16,0.5,IF(OFFSET($A42,0,1,1,372)=$NX$17,0.5,1))*(OFFSET($A$3,0,1,1,372))))</f>
        <v>5</v>
      </c>
      <c r="NL42" s="23">
        <f t="shared" ca="1" si="8"/>
        <v>0</v>
      </c>
      <c r="NM42" s="23">
        <f t="shared" ca="1" si="8"/>
        <v>0</v>
      </c>
      <c r="NN42" s="23">
        <f t="shared" ca="1" si="8"/>
        <v>0</v>
      </c>
      <c r="NO42" s="23">
        <f t="shared" ca="1" si="8"/>
        <v>5</v>
      </c>
      <c r="NP42" s="23">
        <f t="shared" ca="1" si="8"/>
        <v>0</v>
      </c>
      <c r="NQ42" s="23">
        <f t="shared" ca="1" si="8"/>
        <v>0</v>
      </c>
      <c r="NR42" s="23">
        <f t="shared" ca="1" si="8"/>
        <v>0</v>
      </c>
      <c r="NS42" s="23">
        <f t="shared" ca="1" si="8"/>
        <v>0</v>
      </c>
      <c r="NT42" s="23">
        <f t="shared" ca="1" si="8"/>
        <v>0</v>
      </c>
      <c r="NU42" s="23">
        <f t="shared" ca="1" si="8"/>
        <v>0</v>
      </c>
    </row>
    <row r="43" spans="1:388" x14ac:dyDescent="0.25">
      <c r="A43" s="1" t="s">
        <v>95</v>
      </c>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t="s">
        <v>37</v>
      </c>
      <c r="MT43" s="1" t="s">
        <v>37</v>
      </c>
      <c r="MU43" s="1" t="s">
        <v>37</v>
      </c>
      <c r="MV43" s="1" t="s">
        <v>37</v>
      </c>
      <c r="MW43" s="1" t="s">
        <v>37</v>
      </c>
      <c r="MX43" s="1"/>
      <c r="MY43" s="1"/>
      <c r="MZ43" s="1"/>
      <c r="NA43" s="1"/>
      <c r="NB43" s="1"/>
      <c r="NC43" s="1"/>
      <c r="ND43" s="1"/>
      <c r="NE43" s="1"/>
      <c r="NF43" s="1"/>
      <c r="NG43" s="1"/>
      <c r="NH43" s="1"/>
      <c r="NI43" s="1"/>
      <c r="NK43" s="18">
        <f t="array" aca="1" ref="NK43" ca="1">SUMPRODUCT((OFFSET($A43,0,1,1,372)&lt;&gt;"")*(IF(OFFSET($A43,0,1,1,372)=$NX$16,0.5,IF(OFFSET($A43,0,1,1,372)=$NX$17,0.5,1))*(OFFSET($A$3,0,1,1,372))))</f>
        <v>5</v>
      </c>
      <c r="NL43" s="23">
        <f t="shared" ca="1" si="8"/>
        <v>0</v>
      </c>
      <c r="NM43" s="23">
        <f t="shared" ca="1" si="8"/>
        <v>0</v>
      </c>
      <c r="NN43" s="23">
        <f t="shared" ca="1" si="8"/>
        <v>0</v>
      </c>
      <c r="NO43" s="23">
        <f t="shared" ca="1" si="8"/>
        <v>5</v>
      </c>
      <c r="NP43" s="23">
        <f t="shared" ca="1" si="8"/>
        <v>0</v>
      </c>
      <c r="NQ43" s="23">
        <f t="shared" ca="1" si="8"/>
        <v>0</v>
      </c>
      <c r="NR43" s="23">
        <f t="shared" ca="1" si="8"/>
        <v>0</v>
      </c>
      <c r="NS43" s="23">
        <f t="shared" ca="1" si="8"/>
        <v>0</v>
      </c>
      <c r="NT43" s="23">
        <f t="shared" ca="1" si="8"/>
        <v>0</v>
      </c>
      <c r="NU43" s="23">
        <f t="shared" ca="1" si="8"/>
        <v>0</v>
      </c>
    </row>
    <row r="44" spans="1:388" x14ac:dyDescent="0.25">
      <c r="A44" s="1" t="s">
        <v>96</v>
      </c>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t="s">
        <v>37</v>
      </c>
      <c r="MT44" s="1" t="s">
        <v>37</v>
      </c>
      <c r="MU44" s="1" t="s">
        <v>37</v>
      </c>
      <c r="MV44" s="1" t="s">
        <v>37</v>
      </c>
      <c r="MW44" s="1" t="s">
        <v>37</v>
      </c>
      <c r="MX44" s="1"/>
      <c r="MY44" s="1"/>
      <c r="MZ44" s="1"/>
      <c r="NA44" s="1"/>
      <c r="NB44" s="1"/>
      <c r="NC44" s="1"/>
      <c r="ND44" s="1"/>
      <c r="NE44" s="1"/>
      <c r="NF44" s="1"/>
      <c r="NG44" s="1"/>
      <c r="NH44" s="1"/>
      <c r="NI44" s="1"/>
      <c r="NK44" s="18">
        <f t="array" aca="1" ref="NK44" ca="1">SUMPRODUCT((OFFSET($A44,0,1,1,372)&lt;&gt;"")*(IF(OFFSET($A44,0,1,1,372)=$NX$16,0.5,IF(OFFSET($A44,0,1,1,372)=$NX$17,0.5,1))*(OFFSET($A$3,0,1,1,372))))</f>
        <v>5</v>
      </c>
      <c r="NL44" s="23">
        <f t="shared" ca="1" si="8"/>
        <v>0</v>
      </c>
      <c r="NM44" s="23">
        <f t="shared" ca="1" si="8"/>
        <v>0</v>
      </c>
      <c r="NN44" s="23">
        <f t="shared" ca="1" si="8"/>
        <v>0</v>
      </c>
      <c r="NO44" s="23">
        <f t="shared" ca="1" si="8"/>
        <v>5</v>
      </c>
      <c r="NP44" s="23">
        <f t="shared" ca="1" si="8"/>
        <v>0</v>
      </c>
      <c r="NQ44" s="23">
        <f t="shared" ca="1" si="8"/>
        <v>0</v>
      </c>
      <c r="NR44" s="23">
        <f t="shared" ca="1" si="8"/>
        <v>0</v>
      </c>
      <c r="NS44" s="23">
        <f t="shared" ca="1" si="8"/>
        <v>0</v>
      </c>
      <c r="NT44" s="23">
        <f t="shared" ca="1" si="8"/>
        <v>0</v>
      </c>
      <c r="NU44" s="23">
        <f t="shared" ca="1" si="8"/>
        <v>0</v>
      </c>
    </row>
    <row r="45" spans="1:388" x14ac:dyDescent="0.25">
      <c r="A45" s="1" t="s">
        <v>97</v>
      </c>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t="s">
        <v>37</v>
      </c>
      <c r="MT45" s="1" t="s">
        <v>37</v>
      </c>
      <c r="MU45" s="1" t="s">
        <v>37</v>
      </c>
      <c r="MV45" s="1" t="s">
        <v>37</v>
      </c>
      <c r="MW45" s="1" t="s">
        <v>37</v>
      </c>
      <c r="MX45" s="1"/>
      <c r="MY45" s="1"/>
      <c r="MZ45" s="1"/>
      <c r="NA45" s="1"/>
      <c r="NB45" s="1"/>
      <c r="NC45" s="1"/>
      <c r="ND45" s="1"/>
      <c r="NE45" s="1"/>
      <c r="NF45" s="1"/>
      <c r="NG45" s="1"/>
      <c r="NH45" s="1"/>
      <c r="NI45" s="1"/>
      <c r="NK45" s="18">
        <f t="array" aca="1" ref="NK45" ca="1">SUMPRODUCT((OFFSET($A45,0,1,1,372)&lt;&gt;"")*(IF(OFFSET($A45,0,1,1,372)=$NX$16,0.5,IF(OFFSET($A45,0,1,1,372)=$NX$17,0.5,1))*(OFFSET($A$3,0,1,1,372))))</f>
        <v>5</v>
      </c>
      <c r="NL45" s="23">
        <f t="shared" ca="1" si="8"/>
        <v>0</v>
      </c>
      <c r="NM45" s="23">
        <f t="shared" ca="1" si="8"/>
        <v>0</v>
      </c>
      <c r="NN45" s="23">
        <f t="shared" ca="1" si="8"/>
        <v>0</v>
      </c>
      <c r="NO45" s="23">
        <f t="shared" ca="1" si="8"/>
        <v>5</v>
      </c>
      <c r="NP45" s="23">
        <f t="shared" ca="1" si="8"/>
        <v>0</v>
      </c>
      <c r="NQ45" s="23">
        <f t="shared" ca="1" si="8"/>
        <v>0</v>
      </c>
      <c r="NR45" s="23">
        <f t="shared" ca="1" si="8"/>
        <v>0</v>
      </c>
      <c r="NS45" s="23">
        <f t="shared" ca="1" si="8"/>
        <v>0</v>
      </c>
      <c r="NT45" s="23">
        <f t="shared" ca="1" si="8"/>
        <v>0</v>
      </c>
      <c r="NU45" s="23">
        <f t="shared" ca="1" si="8"/>
        <v>0</v>
      </c>
    </row>
    <row r="46" spans="1:388" x14ac:dyDescent="0.25">
      <c r="A46" s="1" t="s">
        <v>98</v>
      </c>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t="s">
        <v>37</v>
      </c>
      <c r="MT46" s="1" t="s">
        <v>37</v>
      </c>
      <c r="MU46" s="1" t="s">
        <v>37</v>
      </c>
      <c r="MV46" s="1" t="s">
        <v>37</v>
      </c>
      <c r="MW46" s="1" t="s">
        <v>37</v>
      </c>
      <c r="MX46" s="1"/>
      <c r="MY46" s="1"/>
      <c r="MZ46" s="1"/>
      <c r="NA46" s="1"/>
      <c r="NB46" s="1"/>
      <c r="NC46" s="1"/>
      <c r="ND46" s="1"/>
      <c r="NE46" s="1"/>
      <c r="NF46" s="1"/>
      <c r="NG46" s="1"/>
      <c r="NH46" s="1"/>
      <c r="NI46" s="1"/>
      <c r="NK46" s="18">
        <f t="array" aca="1" ref="NK46" ca="1">SUMPRODUCT((OFFSET($A46,0,1,1,372)&lt;&gt;"")*(IF(OFFSET($A46,0,1,1,372)=$NX$16,0.5,IF(OFFSET($A46,0,1,1,372)=$NX$17,0.5,1))*(OFFSET($A$3,0,1,1,372))))</f>
        <v>5</v>
      </c>
      <c r="NL46" s="23">
        <f t="shared" ca="1" si="8"/>
        <v>0</v>
      </c>
      <c r="NM46" s="23">
        <f t="shared" ca="1" si="8"/>
        <v>0</v>
      </c>
      <c r="NN46" s="23">
        <f t="shared" ca="1" si="8"/>
        <v>0</v>
      </c>
      <c r="NO46" s="23">
        <f t="shared" ca="1" si="8"/>
        <v>5</v>
      </c>
      <c r="NP46" s="23">
        <f t="shared" ca="1" si="8"/>
        <v>0</v>
      </c>
      <c r="NQ46" s="23">
        <f t="shared" ca="1" si="8"/>
        <v>0</v>
      </c>
      <c r="NR46" s="23">
        <f t="shared" ca="1" si="8"/>
        <v>0</v>
      </c>
      <c r="NS46" s="23">
        <f t="shared" ca="1" si="8"/>
        <v>0</v>
      </c>
      <c r="NT46" s="23">
        <f t="shared" ca="1" si="8"/>
        <v>0</v>
      </c>
      <c r="NU46" s="23">
        <f t="shared" ca="1" si="8"/>
        <v>0</v>
      </c>
    </row>
    <row r="47" spans="1:388" x14ac:dyDescent="0.25">
      <c r="A47" s="1" t="s">
        <v>99</v>
      </c>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t="s">
        <v>37</v>
      </c>
      <c r="MT47" s="1" t="s">
        <v>37</v>
      </c>
      <c r="MU47" s="1" t="s">
        <v>37</v>
      </c>
      <c r="MV47" s="1" t="s">
        <v>37</v>
      </c>
      <c r="MW47" s="1" t="s">
        <v>37</v>
      </c>
      <c r="MX47" s="1"/>
      <c r="MY47" s="1"/>
      <c r="MZ47" s="1"/>
      <c r="NA47" s="1"/>
      <c r="NB47" s="1"/>
      <c r="NC47" s="1"/>
      <c r="ND47" s="1"/>
      <c r="NE47" s="1"/>
      <c r="NF47" s="1"/>
      <c r="NG47" s="1"/>
      <c r="NH47" s="1"/>
      <c r="NI47" s="1"/>
      <c r="NK47" s="18">
        <f t="array" aca="1" ref="NK47" ca="1">SUMPRODUCT((OFFSET($A47,0,1,1,372)&lt;&gt;"")*(IF(OFFSET($A47,0,1,1,372)=$NX$16,0.5,IF(OFFSET($A47,0,1,1,372)=$NX$17,0.5,1))*(OFFSET($A$3,0,1,1,372))))</f>
        <v>5</v>
      </c>
      <c r="NL47" s="23">
        <f t="shared" ca="1" si="8"/>
        <v>0</v>
      </c>
      <c r="NM47" s="23">
        <f t="shared" ca="1" si="8"/>
        <v>0</v>
      </c>
      <c r="NN47" s="23">
        <f t="shared" ca="1" si="8"/>
        <v>0</v>
      </c>
      <c r="NO47" s="23">
        <f t="shared" ca="1" si="8"/>
        <v>5</v>
      </c>
      <c r="NP47" s="23">
        <f t="shared" ca="1" si="8"/>
        <v>0</v>
      </c>
      <c r="NQ47" s="23">
        <f t="shared" ca="1" si="8"/>
        <v>0</v>
      </c>
      <c r="NR47" s="23">
        <f t="shared" ca="1" si="8"/>
        <v>0</v>
      </c>
      <c r="NS47" s="23">
        <f t="shared" ca="1" si="8"/>
        <v>0</v>
      </c>
      <c r="NT47" s="23">
        <f t="shared" ca="1" si="8"/>
        <v>0</v>
      </c>
      <c r="NU47" s="23">
        <f t="shared" ca="1" si="8"/>
        <v>0</v>
      </c>
    </row>
    <row r="48" spans="1:388" x14ac:dyDescent="0.25">
      <c r="A48" s="1" t="s">
        <v>100</v>
      </c>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t="s">
        <v>37</v>
      </c>
      <c r="MT48" s="1" t="s">
        <v>37</v>
      </c>
      <c r="MU48" s="1" t="s">
        <v>49</v>
      </c>
      <c r="MV48" s="1" t="s">
        <v>37</v>
      </c>
      <c r="MW48" s="1" t="s">
        <v>37</v>
      </c>
      <c r="MX48" s="1"/>
      <c r="MY48" s="1"/>
      <c r="MZ48" s="1"/>
      <c r="NA48" s="1"/>
      <c r="NB48" s="1"/>
      <c r="NC48" s="1"/>
      <c r="ND48" s="1"/>
      <c r="NE48" s="1"/>
      <c r="NF48" s="1"/>
      <c r="NG48" s="1"/>
      <c r="NH48" s="1"/>
      <c r="NI48" s="1"/>
      <c r="NK48" s="18">
        <f t="array" aca="1" ref="NK48" ca="1">SUMPRODUCT((OFFSET($A48,0,1,1,372)&lt;&gt;"")*(IF(OFFSET($A48,0,1,1,372)=$NX$16,0.5,IF(OFFSET($A48,0,1,1,372)=$NX$17,0.5,1))*(OFFSET($A$3,0,1,1,372))))</f>
        <v>5</v>
      </c>
      <c r="NL48" s="23">
        <f t="shared" ca="1" si="8"/>
        <v>0</v>
      </c>
      <c r="NM48" s="23">
        <f t="shared" ca="1" si="8"/>
        <v>1</v>
      </c>
      <c r="NN48" s="23">
        <f t="shared" ca="1" si="8"/>
        <v>0</v>
      </c>
      <c r="NO48" s="23">
        <f t="shared" ca="1" si="8"/>
        <v>4</v>
      </c>
      <c r="NP48" s="23">
        <f t="shared" ca="1" si="8"/>
        <v>0</v>
      </c>
      <c r="NQ48" s="23">
        <f t="shared" ca="1" si="8"/>
        <v>0</v>
      </c>
      <c r="NR48" s="23">
        <f t="shared" ca="1" si="8"/>
        <v>0</v>
      </c>
      <c r="NS48" s="23">
        <f t="shared" ca="1" si="8"/>
        <v>0</v>
      </c>
      <c r="NT48" s="23">
        <f t="shared" ca="1" si="8"/>
        <v>0</v>
      </c>
      <c r="NU48" s="23">
        <f t="shared" ca="1" si="8"/>
        <v>0</v>
      </c>
    </row>
    <row r="49" spans="1:385" x14ac:dyDescent="0.25">
      <c r="A49" s="1" t="s">
        <v>101</v>
      </c>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t="s">
        <v>37</v>
      </c>
      <c r="MT49" s="1" t="s">
        <v>37</v>
      </c>
      <c r="MU49" s="1" t="s">
        <v>194</v>
      </c>
      <c r="MV49" s="1" t="s">
        <v>37</v>
      </c>
      <c r="MW49" s="1" t="s">
        <v>37</v>
      </c>
      <c r="MX49" s="1"/>
      <c r="MY49" s="1"/>
      <c r="MZ49" s="1"/>
      <c r="NA49" s="1"/>
      <c r="NB49" s="1"/>
      <c r="NC49" s="1"/>
      <c r="ND49" s="1"/>
      <c r="NE49" s="1"/>
      <c r="NF49" s="1"/>
      <c r="NG49" s="1"/>
      <c r="NH49" s="1"/>
      <c r="NI49" s="1"/>
      <c r="NK49" s="18">
        <f t="array" aca="1" ref="NK49" ca="1">SUMPRODUCT((OFFSET($A49,0,1,1,372)&lt;&gt;"")*(IF(OFFSET($A49,0,1,1,372)=$NX$16,0.5,IF(OFFSET($A49,0,1,1,372)=$NX$17,0.5,1))*(OFFSET($A$3,0,1,1,372))))</f>
        <v>5</v>
      </c>
      <c r="NL49" s="23">
        <f t="shared" ca="1" si="8"/>
        <v>0</v>
      </c>
      <c r="NM49" s="23">
        <f t="shared" ca="1" si="8"/>
        <v>0</v>
      </c>
      <c r="NN49" s="23">
        <f t="shared" ca="1" si="8"/>
        <v>1</v>
      </c>
      <c r="NO49" s="23">
        <f t="shared" ca="1" si="8"/>
        <v>4</v>
      </c>
      <c r="NP49" s="23">
        <f t="shared" ca="1" si="8"/>
        <v>0</v>
      </c>
      <c r="NQ49" s="23">
        <f t="shared" ca="1" si="8"/>
        <v>0</v>
      </c>
      <c r="NR49" s="23">
        <f t="shared" ca="1" si="8"/>
        <v>0</v>
      </c>
      <c r="NS49" s="23">
        <f t="shared" ca="1" si="8"/>
        <v>0</v>
      </c>
      <c r="NT49" s="23">
        <f t="shared" ca="1" si="8"/>
        <v>0</v>
      </c>
      <c r="NU49" s="23">
        <f t="shared" ca="1" si="8"/>
        <v>0</v>
      </c>
    </row>
    <row r="50" spans="1:385" x14ac:dyDescent="0.25">
      <c r="A50" s="1" t="s">
        <v>202</v>
      </c>
      <c r="ME50" s="1"/>
      <c r="MF50" s="1"/>
      <c r="MG50" s="1"/>
      <c r="MH50" s="1"/>
      <c r="MI50" s="1"/>
      <c r="MJ50" s="1"/>
      <c r="MK50" s="1"/>
      <c r="ML50" s="1"/>
      <c r="MM50" s="1"/>
      <c r="MN50" s="1"/>
      <c r="MO50" s="1"/>
      <c r="MP50" s="1"/>
      <c r="MQ50" s="1"/>
      <c r="MR50" s="1"/>
      <c r="MS50" s="1" t="s">
        <v>37</v>
      </c>
      <c r="MT50" s="1" t="s">
        <v>37</v>
      </c>
      <c r="MU50" s="1" t="s">
        <v>194</v>
      </c>
      <c r="MV50" s="1" t="s">
        <v>37</v>
      </c>
      <c r="MW50" s="1" t="s">
        <v>37</v>
      </c>
      <c r="MX50" s="1"/>
      <c r="MY50" s="1"/>
      <c r="MZ50" s="1"/>
      <c r="NA50" s="1"/>
      <c r="NB50" s="1"/>
      <c r="NC50" s="1"/>
      <c r="ND50" s="1"/>
      <c r="NE50" s="1"/>
      <c r="NF50" s="1"/>
      <c r="NG50" s="1"/>
      <c r="NH50" s="1"/>
      <c r="NI50" s="1"/>
    </row>
  </sheetData>
  <mergeCells count="11">
    <mergeCell ref="NO5:NO6"/>
    <mergeCell ref="NP5:NP6"/>
    <mergeCell ref="NK5:NK6"/>
    <mergeCell ref="NL5:NL6"/>
    <mergeCell ref="NM5:NM6"/>
    <mergeCell ref="NN5:NN6"/>
    <mergeCell ref="NQ5:NQ6"/>
    <mergeCell ref="NR5:NR6"/>
    <mergeCell ref="NS5:NS6"/>
    <mergeCell ref="NT5:NT6"/>
    <mergeCell ref="NU5:NU6"/>
  </mergeCells>
  <conditionalFormatting sqref="NX21:NX35">
    <cfRule type="expression" dxfId="15" priority="10">
      <formula>NX21="No"</formula>
    </cfRule>
  </conditionalFormatting>
  <conditionalFormatting sqref="B6:NJ6">
    <cfRule type="expression" dxfId="14" priority="32">
      <formula>IF(VLOOKUP(B6,$NW$21:$NX$35,2,0)="No",TRUE,FALSE)</formula>
    </cfRule>
  </conditionalFormatting>
  <conditionalFormatting sqref="ME7:NI50">
    <cfRule type="containsText" dxfId="13" priority="1" operator="containsText" text="P">
      <formula>NOT(ISERROR(SEARCH("P",ME7)))</formula>
    </cfRule>
    <cfRule type="containsText" dxfId="12" priority="2" operator="containsText" text="A">
      <formula>NOT(ISERROR(SEARCH("A",ME7)))</formula>
    </cfRule>
  </conditionalFormatting>
  <dataValidations count="3">
    <dataValidation type="list" allowBlank="1" showInputMessage="1" showErrorMessage="1" sqref="NX21:NX35" xr:uid="{00000000-0002-0000-0000-000000000000}">
      <formula1>"Yes, No"</formula1>
    </dataValidation>
    <dataValidation type="custom" allowBlank="1" showErrorMessage="1" errorTitle="Not a Valid Date" error="This isn't a valid Date" sqref="B8:MR35 ME36:MR50 MS8:MW50 MX8:NJ35 MX36:NI50" xr:uid="{00000000-0002-0000-0000-000001000000}">
      <formula1>B$6&lt;&gt;""</formula1>
    </dataValidation>
    <dataValidation type="list" allowBlank="1" showInputMessage="1" showErrorMessage="1" sqref="A1" xr:uid="{00000000-0002-0000-0000-000002000000}">
      <formula1>"1,2,3,4,5,6,7,8,9,10,11,12"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E11"/>
  <sheetViews>
    <sheetView showGridLines="0" zoomScale="115" zoomScaleNormal="115" workbookViewId="0">
      <selection activeCell="A10" sqref="A10:XFD10"/>
    </sheetView>
  </sheetViews>
  <sheetFormatPr defaultRowHeight="15" x14ac:dyDescent="0.25"/>
  <cols>
    <col min="1" max="1" width="24" bestFit="1" customWidth="1"/>
    <col min="2" max="2" width="12.140625" customWidth="1"/>
    <col min="4" max="4" width="10.42578125" bestFit="1" customWidth="1"/>
  </cols>
  <sheetData>
    <row r="1" spans="1:5" x14ac:dyDescent="0.25">
      <c r="A1" s="10" t="s">
        <v>20</v>
      </c>
      <c r="B1" s="11" t="s">
        <v>21</v>
      </c>
    </row>
    <row r="2" spans="1:5" x14ac:dyDescent="0.25">
      <c r="A2" s="16" t="s">
        <v>22</v>
      </c>
      <c r="B2" s="17">
        <v>43466</v>
      </c>
      <c r="D2" s="5"/>
      <c r="E2" s="7"/>
    </row>
    <row r="3" spans="1:5" x14ac:dyDescent="0.25">
      <c r="A3" s="16" t="s">
        <v>54</v>
      </c>
      <c r="B3" s="17">
        <v>43493</v>
      </c>
      <c r="E3" s="7"/>
    </row>
    <row r="4" spans="1:5" x14ac:dyDescent="0.25">
      <c r="A4" s="16" t="s">
        <v>52</v>
      </c>
      <c r="B4" s="17">
        <v>43574</v>
      </c>
      <c r="E4" s="7"/>
    </row>
    <row r="5" spans="1:5" x14ac:dyDescent="0.25">
      <c r="A5" s="16" t="s">
        <v>23</v>
      </c>
      <c r="B5" s="17">
        <v>43576</v>
      </c>
      <c r="E5" s="7"/>
    </row>
    <row r="6" spans="1:5" x14ac:dyDescent="0.25">
      <c r="A6" s="16" t="s">
        <v>55</v>
      </c>
      <c r="B6" s="17">
        <v>43577</v>
      </c>
      <c r="E6" s="7"/>
    </row>
    <row r="7" spans="1:5" x14ac:dyDescent="0.25">
      <c r="A7" s="16" t="s">
        <v>56</v>
      </c>
      <c r="B7" s="17">
        <v>43580</v>
      </c>
      <c r="E7" s="7"/>
    </row>
    <row r="8" spans="1:5" x14ac:dyDescent="0.25">
      <c r="A8" s="16" t="s">
        <v>57</v>
      </c>
      <c r="B8" s="17">
        <v>43626</v>
      </c>
      <c r="E8" s="7"/>
    </row>
    <row r="9" spans="1:5" x14ac:dyDescent="0.25">
      <c r="A9" s="16" t="s">
        <v>53</v>
      </c>
      <c r="B9" s="17">
        <v>43535</v>
      </c>
      <c r="E9" s="7"/>
    </row>
    <row r="10" spans="1:5" x14ac:dyDescent="0.25">
      <c r="A10" s="16" t="s">
        <v>24</v>
      </c>
      <c r="B10" s="17">
        <v>43824</v>
      </c>
      <c r="E10" s="7"/>
    </row>
    <row r="11" spans="1:5" x14ac:dyDescent="0.25">
      <c r="A11" s="16" t="s">
        <v>58</v>
      </c>
      <c r="B11" s="17">
        <v>43825</v>
      </c>
      <c r="E11" s="7"/>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5"/>
  <sheetViews>
    <sheetView showGridLines="0" workbookViewId="0">
      <selection activeCell="A10" sqref="A10:XFD10"/>
    </sheetView>
  </sheetViews>
  <sheetFormatPr defaultRowHeight="15" x14ac:dyDescent="0.25"/>
  <cols>
    <col min="1" max="1" width="128.5703125" customWidth="1"/>
  </cols>
  <sheetData>
    <row r="1" spans="1:1" ht="21" x14ac:dyDescent="0.25">
      <c r="A1" s="30" t="s">
        <v>44</v>
      </c>
    </row>
    <row r="2" spans="1:1" ht="75" customHeight="1" x14ac:dyDescent="0.25">
      <c r="A2" s="31" t="s">
        <v>45</v>
      </c>
    </row>
    <row r="3" spans="1:1" ht="75" customHeight="1" x14ac:dyDescent="0.25">
      <c r="A3" s="31" t="s">
        <v>46</v>
      </c>
    </row>
    <row r="4" spans="1:1" ht="75" customHeight="1" x14ac:dyDescent="0.25">
      <c r="A4" s="31" t="s">
        <v>47</v>
      </c>
    </row>
    <row r="5" spans="1:1" ht="75" customHeight="1" x14ac:dyDescent="0.25">
      <c r="A5" s="31" t="s">
        <v>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C4863D-D2DE-4A5E-A92B-0DBF555E642E}">
  <sheetPr codeName="LeaveTracker1"/>
  <dimension ref="A1:ACG83"/>
  <sheetViews>
    <sheetView showGridLines="0" showWhiteSpace="0" zoomScaleNormal="100" zoomScaleSheetLayoutView="100" workbookViewId="0">
      <pane xSplit="1" ySplit="7" topLeftCell="B8" activePane="bottomRight" state="frozen"/>
      <selection pane="topRight" activeCell="B1" sqref="B1"/>
      <selection pane="bottomLeft" activeCell="A8" sqref="A8"/>
      <selection pane="bottomRight" activeCell="NW6" sqref="NW6:NX17"/>
    </sheetView>
  </sheetViews>
  <sheetFormatPr defaultRowHeight="15" x14ac:dyDescent="0.25"/>
  <cols>
    <col min="1" max="1" width="32.7109375" bestFit="1" customWidth="1"/>
    <col min="2" max="94" width="3.5703125" hidden="1" customWidth="1"/>
    <col min="95" max="95" width="9.28515625" hidden="1" customWidth="1"/>
    <col min="96" max="342" width="3.5703125" hidden="1" customWidth="1"/>
    <col min="343" max="373" width="3.5703125" customWidth="1"/>
    <col min="374" max="374" width="3.5703125" hidden="1" customWidth="1"/>
    <col min="375" max="375" width="8.42578125" customWidth="1"/>
    <col min="376" max="385" width="3.5703125" customWidth="1"/>
    <col min="386" max="386" width="3" customWidth="1"/>
    <col min="387" max="387" width="14.42578125" bestFit="1" customWidth="1"/>
    <col min="388" max="388" width="10.140625" bestFit="1" customWidth="1"/>
  </cols>
  <sheetData>
    <row r="1" spans="1:761" ht="15.75" x14ac:dyDescent="0.25">
      <c r="A1" s="9">
        <v>1</v>
      </c>
      <c r="B1" s="19"/>
    </row>
    <row r="2" spans="1:761" ht="15.75" x14ac:dyDescent="0.25">
      <c r="A2" s="9">
        <v>2025</v>
      </c>
      <c r="B2" s="19"/>
    </row>
    <row r="3" spans="1:761" ht="41.25" customHeight="1" x14ac:dyDescent="0.25">
      <c r="A3" s="12">
        <v>12</v>
      </c>
      <c r="B3" s="13" t="b">
        <f>AND(NOT(ISNUMBER(MATCH(DATE($A$2,INT((COLUMN()-1)/31.001)+$A$1,ROUNDUP(MOD(COLUMN()-1,31.001),0)),HolidayList[Date],0))),(VLOOKUP(VLOOKUP(WEEKDAY(DATE($A$2,INT((COLUMN()-1)/31.001)+$A$1,ROUNDUP(MOD(COLUMN()-1,31.001),0)),2),Sheet3!$D$1:$E$7,2,0),$NW$21:$NX$35,2,0)="Yes"))</f>
        <v>1</v>
      </c>
      <c r="C3" s="13" t="b">
        <f>AND(NOT(ISNUMBER(MATCH(DATE($A$2,INT((COLUMN()-1)/31.001)+$A$1,ROUNDUP(MOD(COLUMN()-1,31.001),0)),HolidayList[Date],0))),(VLOOKUP(VLOOKUP(WEEKDAY(DATE($A$2,INT((COLUMN()-1)/31.001)+$A$1,ROUNDUP(MOD(COLUMN()-1,31.001),0)),2),Sheet3!$D$1:$E$7,2,0),$NW$21:$NX$35,2,0)="Yes"))</f>
        <v>1</v>
      </c>
      <c r="D3" s="13" t="b">
        <f>AND(NOT(ISNUMBER(MATCH(DATE($A$2,INT((COLUMN()-1)/31.001)+$A$1,ROUNDUP(MOD(COLUMN()-1,31.001),0)),HolidayList[Date],0))),(VLOOKUP(VLOOKUP(WEEKDAY(DATE($A$2,INT((COLUMN()-1)/31.001)+$A$1,ROUNDUP(MOD(COLUMN()-1,31.001),0)),2),Sheet3!$D$1:$E$7,2,0),$NW$21:$NX$35,2,0)="Yes"))</f>
        <v>1</v>
      </c>
      <c r="E3" s="13" t="b">
        <f>AND(NOT(ISNUMBER(MATCH(DATE($A$2,INT((COLUMN()-1)/31.001)+$A$1,ROUNDUP(MOD(COLUMN()-1,31.001),0)),HolidayList[Date],0))),(VLOOKUP(VLOOKUP(WEEKDAY(DATE($A$2,INT((COLUMN()-1)/31.001)+$A$1,ROUNDUP(MOD(COLUMN()-1,31.001),0)),2),Sheet3!$D$1:$E$7,2,0),$NW$21:$NX$35,2,0)="Yes"))</f>
        <v>0</v>
      </c>
      <c r="F3" s="13" t="b">
        <f>AND(NOT(ISNUMBER(MATCH(DATE($A$2,INT((COLUMN()-1)/31.001)+$A$1,ROUNDUP(MOD(COLUMN()-1,31.001),0)),HolidayList[Date],0))),(VLOOKUP(VLOOKUP(WEEKDAY(DATE($A$2,INT((COLUMN()-1)/31.001)+$A$1,ROUNDUP(MOD(COLUMN()-1,31.001),0)),2),Sheet3!$D$1:$E$7,2,0),$NW$21:$NX$35,2,0)="Yes"))</f>
        <v>0</v>
      </c>
      <c r="G3" s="13" t="b">
        <f>AND(NOT(ISNUMBER(MATCH(DATE($A$2,INT((COLUMN()-1)/31.001)+$A$1,ROUNDUP(MOD(COLUMN()-1,31.001),0)),HolidayList[Date],0))),(VLOOKUP(VLOOKUP(WEEKDAY(DATE($A$2,INT((COLUMN()-1)/31.001)+$A$1,ROUNDUP(MOD(COLUMN()-1,31.001),0)),2),Sheet3!$D$1:$E$7,2,0),$NW$21:$NX$35,2,0)="Yes"))</f>
        <v>1</v>
      </c>
      <c r="H3" s="13" t="b">
        <f>AND(NOT(ISNUMBER(MATCH(DATE($A$2,INT((COLUMN()-1)/31.001)+$A$1,ROUNDUP(MOD(COLUMN()-1,31.001),0)),HolidayList[Date],0))),(VLOOKUP(VLOOKUP(WEEKDAY(DATE($A$2,INT((COLUMN()-1)/31.001)+$A$1,ROUNDUP(MOD(COLUMN()-1,31.001),0)),2),Sheet3!$D$1:$E$7,2,0),$NW$21:$NX$35,2,0)="Yes"))</f>
        <v>1</v>
      </c>
      <c r="I3" s="13" t="b">
        <f>AND(NOT(ISNUMBER(MATCH(DATE($A$2,INT((COLUMN()-1)/31.001)+$A$1,ROUNDUP(MOD(COLUMN()-1,31.001),0)),HolidayList[Date],0))),(VLOOKUP(VLOOKUP(WEEKDAY(DATE($A$2,INT((COLUMN()-1)/31.001)+$A$1,ROUNDUP(MOD(COLUMN()-1,31.001),0)),2),Sheet3!$D$1:$E$7,2,0),$NW$21:$NX$35,2,0)="Yes"))</f>
        <v>1</v>
      </c>
      <c r="J3" s="13" t="b">
        <f>AND(NOT(ISNUMBER(MATCH(DATE($A$2,INT((COLUMN()-1)/31.001)+$A$1,ROUNDUP(MOD(COLUMN()-1,31.001),0)),HolidayList[Date],0))),(VLOOKUP(VLOOKUP(WEEKDAY(DATE($A$2,INT((COLUMN()-1)/31.001)+$A$1,ROUNDUP(MOD(COLUMN()-1,31.001),0)),2),Sheet3!$D$1:$E$7,2,0),$NW$21:$NX$35,2,0)="Yes"))</f>
        <v>1</v>
      </c>
      <c r="K3" s="13" t="b">
        <f>AND(NOT(ISNUMBER(MATCH(DATE($A$2,INT((COLUMN()-1)/31.001)+$A$1,ROUNDUP(MOD(COLUMN()-1,31.001),0)),HolidayList[Date],0))),(VLOOKUP(VLOOKUP(WEEKDAY(DATE($A$2,INT((COLUMN()-1)/31.001)+$A$1,ROUNDUP(MOD(COLUMN()-1,31.001),0)),2),Sheet3!$D$1:$E$7,2,0),$NW$21:$NX$35,2,0)="Yes"))</f>
        <v>1</v>
      </c>
      <c r="L3" s="13" t="b">
        <f>AND(NOT(ISNUMBER(MATCH(DATE($A$2,INT((COLUMN()-1)/31.001)+$A$1,ROUNDUP(MOD(COLUMN()-1,31.001),0)),HolidayList[Date],0))),(VLOOKUP(VLOOKUP(WEEKDAY(DATE($A$2,INT((COLUMN()-1)/31.001)+$A$1,ROUNDUP(MOD(COLUMN()-1,31.001),0)),2),Sheet3!$D$1:$E$7,2,0),$NW$21:$NX$35,2,0)="Yes"))</f>
        <v>0</v>
      </c>
      <c r="M3" s="13" t="b">
        <f>AND(NOT(ISNUMBER(MATCH(DATE($A$2,INT((COLUMN()-1)/31.001)+$A$1,ROUNDUP(MOD(COLUMN()-1,31.001),0)),HolidayList[Date],0))),(VLOOKUP(VLOOKUP(WEEKDAY(DATE($A$2,INT((COLUMN()-1)/31.001)+$A$1,ROUNDUP(MOD(COLUMN()-1,31.001),0)),2),Sheet3!$D$1:$E$7,2,0),$NW$21:$NX$35,2,0)="Yes"))</f>
        <v>0</v>
      </c>
      <c r="N3" s="13" t="b">
        <f>AND(NOT(ISNUMBER(MATCH(DATE($A$2,INT((COLUMN()-1)/31.001)+$A$1,ROUNDUP(MOD(COLUMN()-1,31.001),0)),HolidayList[Date],0))),(VLOOKUP(VLOOKUP(WEEKDAY(DATE($A$2,INT((COLUMN()-1)/31.001)+$A$1,ROUNDUP(MOD(COLUMN()-1,31.001),0)),2),Sheet3!$D$1:$E$7,2,0),$NW$21:$NX$35,2,0)="Yes"))</f>
        <v>1</v>
      </c>
      <c r="O3" s="13" t="b">
        <f>AND(NOT(ISNUMBER(MATCH(DATE($A$2,INT((COLUMN()-1)/31.001)+$A$1,ROUNDUP(MOD(COLUMN()-1,31.001),0)),HolidayList[Date],0))),(VLOOKUP(VLOOKUP(WEEKDAY(DATE($A$2,INT((COLUMN()-1)/31.001)+$A$1,ROUNDUP(MOD(COLUMN()-1,31.001),0)),2),Sheet3!$D$1:$E$7,2,0),$NW$21:$NX$35,2,0)="Yes"))</f>
        <v>1</v>
      </c>
      <c r="P3" s="13" t="b">
        <f>AND(NOT(ISNUMBER(MATCH(DATE($A$2,INT((COLUMN()-1)/31.001)+$A$1,ROUNDUP(MOD(COLUMN()-1,31.001),0)),HolidayList[Date],0))),(VLOOKUP(VLOOKUP(WEEKDAY(DATE($A$2,INT((COLUMN()-1)/31.001)+$A$1,ROUNDUP(MOD(COLUMN()-1,31.001),0)),2),Sheet3!$D$1:$E$7,2,0),$NW$21:$NX$35,2,0)="Yes"))</f>
        <v>1</v>
      </c>
      <c r="Q3" s="13" t="b">
        <f>AND(NOT(ISNUMBER(MATCH(DATE($A$2,INT((COLUMN()-1)/31.001)+$A$1,ROUNDUP(MOD(COLUMN()-1,31.001),0)),HolidayList[Date],0))),(VLOOKUP(VLOOKUP(WEEKDAY(DATE($A$2,INT((COLUMN()-1)/31.001)+$A$1,ROUNDUP(MOD(COLUMN()-1,31.001),0)),2),Sheet3!$D$1:$E$7,2,0),$NW$21:$NX$35,2,0)="Yes"))</f>
        <v>1</v>
      </c>
      <c r="R3" s="13" t="b">
        <f>AND(NOT(ISNUMBER(MATCH(DATE($A$2,INT((COLUMN()-1)/31.001)+$A$1,ROUNDUP(MOD(COLUMN()-1,31.001),0)),HolidayList[Date],0))),(VLOOKUP(VLOOKUP(WEEKDAY(DATE($A$2,INT((COLUMN()-1)/31.001)+$A$1,ROUNDUP(MOD(COLUMN()-1,31.001),0)),2),Sheet3!$D$1:$E$7,2,0),$NW$21:$NX$35,2,0)="Yes"))</f>
        <v>1</v>
      </c>
      <c r="S3" s="13" t="b">
        <f>AND(NOT(ISNUMBER(MATCH(DATE($A$2,INT((COLUMN()-1)/31.001)+$A$1,ROUNDUP(MOD(COLUMN()-1,31.001),0)),HolidayList[Date],0))),(VLOOKUP(VLOOKUP(WEEKDAY(DATE($A$2,INT((COLUMN()-1)/31.001)+$A$1,ROUNDUP(MOD(COLUMN()-1,31.001),0)),2),Sheet3!$D$1:$E$7,2,0),$NW$21:$NX$35,2,0)="Yes"))</f>
        <v>0</v>
      </c>
      <c r="T3" s="13" t="b">
        <f>AND(NOT(ISNUMBER(MATCH(DATE($A$2,INT((COLUMN()-1)/31.001)+$A$1,ROUNDUP(MOD(COLUMN()-1,31.001),0)),HolidayList[Date],0))),(VLOOKUP(VLOOKUP(WEEKDAY(DATE($A$2,INT((COLUMN()-1)/31.001)+$A$1,ROUNDUP(MOD(COLUMN()-1,31.001),0)),2),Sheet3!$D$1:$E$7,2,0),$NW$21:$NX$35,2,0)="Yes"))</f>
        <v>0</v>
      </c>
      <c r="U3" s="13" t="b">
        <f>AND(NOT(ISNUMBER(MATCH(DATE($A$2,INT((COLUMN()-1)/31.001)+$A$1,ROUNDUP(MOD(COLUMN()-1,31.001),0)),HolidayList[Date],0))),(VLOOKUP(VLOOKUP(WEEKDAY(DATE($A$2,INT((COLUMN()-1)/31.001)+$A$1,ROUNDUP(MOD(COLUMN()-1,31.001),0)),2),Sheet3!$D$1:$E$7,2,0),$NW$21:$NX$35,2,0)="Yes"))</f>
        <v>1</v>
      </c>
      <c r="V3" s="13" t="b">
        <f>AND(NOT(ISNUMBER(MATCH(DATE($A$2,INT((COLUMN()-1)/31.001)+$A$1,ROUNDUP(MOD(COLUMN()-1,31.001),0)),HolidayList[Date],0))),(VLOOKUP(VLOOKUP(WEEKDAY(DATE($A$2,INT((COLUMN()-1)/31.001)+$A$1,ROUNDUP(MOD(COLUMN()-1,31.001),0)),2),Sheet3!$D$1:$E$7,2,0),$NW$21:$NX$35,2,0)="Yes"))</f>
        <v>1</v>
      </c>
      <c r="W3" s="13" t="b">
        <f>AND(NOT(ISNUMBER(MATCH(DATE($A$2,INT((COLUMN()-1)/31.001)+$A$1,ROUNDUP(MOD(COLUMN()-1,31.001),0)),HolidayList[Date],0))),(VLOOKUP(VLOOKUP(WEEKDAY(DATE($A$2,INT((COLUMN()-1)/31.001)+$A$1,ROUNDUP(MOD(COLUMN()-1,31.001),0)),2),Sheet3!$D$1:$E$7,2,0),$NW$21:$NX$35,2,0)="Yes"))</f>
        <v>1</v>
      </c>
      <c r="X3" s="13" t="b">
        <f>AND(NOT(ISNUMBER(MATCH(DATE($A$2,INT((COLUMN()-1)/31.001)+$A$1,ROUNDUP(MOD(COLUMN()-1,31.001),0)),HolidayList[Date],0))),(VLOOKUP(VLOOKUP(WEEKDAY(DATE($A$2,INT((COLUMN()-1)/31.001)+$A$1,ROUNDUP(MOD(COLUMN()-1,31.001),0)),2),Sheet3!$D$1:$E$7,2,0),$NW$21:$NX$35,2,0)="Yes"))</f>
        <v>1</v>
      </c>
      <c r="Y3" s="13" t="b">
        <f>AND(NOT(ISNUMBER(MATCH(DATE($A$2,INT((COLUMN()-1)/31.001)+$A$1,ROUNDUP(MOD(COLUMN()-1,31.001),0)),HolidayList[Date],0))),(VLOOKUP(VLOOKUP(WEEKDAY(DATE($A$2,INT((COLUMN()-1)/31.001)+$A$1,ROUNDUP(MOD(COLUMN()-1,31.001),0)),2),Sheet3!$D$1:$E$7,2,0),$NW$21:$NX$35,2,0)="Yes"))</f>
        <v>1</v>
      </c>
      <c r="Z3" s="13" t="b">
        <f>AND(NOT(ISNUMBER(MATCH(DATE($A$2,INT((COLUMN()-1)/31.001)+$A$1,ROUNDUP(MOD(COLUMN()-1,31.001),0)),HolidayList[Date],0))),(VLOOKUP(VLOOKUP(WEEKDAY(DATE($A$2,INT((COLUMN()-1)/31.001)+$A$1,ROUNDUP(MOD(COLUMN()-1,31.001),0)),2),Sheet3!$D$1:$E$7,2,0),$NW$21:$NX$35,2,0)="Yes"))</f>
        <v>0</v>
      </c>
      <c r="AA3" s="13" t="b">
        <f>AND(NOT(ISNUMBER(MATCH(DATE($A$2,INT((COLUMN()-1)/31.001)+$A$1,ROUNDUP(MOD(COLUMN()-1,31.001),0)),HolidayList[Date],0))),(VLOOKUP(VLOOKUP(WEEKDAY(DATE($A$2,INT((COLUMN()-1)/31.001)+$A$1,ROUNDUP(MOD(COLUMN()-1,31.001),0)),2),Sheet3!$D$1:$E$7,2,0),$NW$21:$NX$35,2,0)="Yes"))</f>
        <v>0</v>
      </c>
      <c r="AB3" s="13" t="b">
        <f>AND(NOT(ISNUMBER(MATCH(DATE($A$2,INT((COLUMN()-1)/31.001)+$A$1,ROUNDUP(MOD(COLUMN()-1,31.001),0)),HolidayList[Date],0))),(VLOOKUP(VLOOKUP(WEEKDAY(DATE($A$2,INT((COLUMN()-1)/31.001)+$A$1,ROUNDUP(MOD(COLUMN()-1,31.001),0)),2),Sheet3!$D$1:$E$7,2,0),$NW$21:$NX$35,2,0)="Yes"))</f>
        <v>1</v>
      </c>
      <c r="AC3" s="13" t="b">
        <f>AND(NOT(ISNUMBER(MATCH(DATE($A$2,INT((COLUMN()-1)/31.001)+$A$1,ROUNDUP(MOD(COLUMN()-1,31.001),0)),HolidayList[Date],0))),(VLOOKUP(VLOOKUP(WEEKDAY(DATE($A$2,INT((COLUMN()-1)/31.001)+$A$1,ROUNDUP(MOD(COLUMN()-1,31.001),0)),2),Sheet3!$D$1:$E$7,2,0),$NW$21:$NX$35,2,0)="Yes"))</f>
        <v>1</v>
      </c>
      <c r="AD3" s="13" t="b">
        <f>AND(NOT(ISNUMBER(MATCH(DATE($A$2,INT((COLUMN()-1)/31.001)+$A$1,ROUNDUP(MOD(COLUMN()-1,31.001),0)),HolidayList[Date],0))),(VLOOKUP(VLOOKUP(WEEKDAY(DATE($A$2,INT((COLUMN()-1)/31.001)+$A$1,ROUNDUP(MOD(COLUMN()-1,31.001),0)),2),Sheet3!$D$1:$E$7,2,0),$NW$21:$NX$35,2,0)="Yes"))</f>
        <v>1</v>
      </c>
      <c r="AE3" s="13" t="b">
        <f>AND(NOT(ISNUMBER(MATCH(DATE($A$2,INT((COLUMN()-1)/31.001)+$A$1,ROUNDUP(MOD(COLUMN()-1,31.001),0)),HolidayList[Date],0))),(VLOOKUP(VLOOKUP(WEEKDAY(DATE($A$2,INT((COLUMN()-1)/31.001)+$A$1,ROUNDUP(MOD(COLUMN()-1,31.001),0)),2),Sheet3!$D$1:$E$7,2,0),$NW$21:$NX$35,2,0)="Yes"))</f>
        <v>1</v>
      </c>
      <c r="AF3" s="13" t="b">
        <f>AND(NOT(ISNUMBER(MATCH(DATE($A$2,INT((COLUMN()-1)/31.001)+$A$1,ROUNDUP(MOD(COLUMN()-1,31.001),0)),HolidayList[Date],0))),(VLOOKUP(VLOOKUP(WEEKDAY(DATE($A$2,INT((COLUMN()-1)/31.001)+$A$1,ROUNDUP(MOD(COLUMN()-1,31.001),0)),2),Sheet3!$D$1:$E$7,2,0),$NW$21:$NX$35,2,0)="Yes"))</f>
        <v>1</v>
      </c>
      <c r="AG3" s="13" t="b">
        <f>AND(NOT(ISNUMBER(MATCH(DATE($A$2,INT((COLUMN()-1)/31.001)+$A$1,ROUNDUP(MOD(COLUMN()-1,31.001),0)),HolidayList[Date],0))),(VLOOKUP(VLOOKUP(WEEKDAY(DATE($A$2,INT((COLUMN()-1)/31.001)+$A$1,ROUNDUP(MOD(COLUMN()-1,31.001),0)),2),Sheet3!$D$1:$E$7,2,0),$NW$21:$NX$35,2,0)="Yes"))</f>
        <v>0</v>
      </c>
      <c r="AH3" s="13" t="b">
        <f>AND(NOT(ISNUMBER(MATCH(DATE($A$2,INT((COLUMN()-1)/31.001)+$A$1,ROUNDUP(MOD(COLUMN()-1,31.001),0)),HolidayList[Date],0))),(VLOOKUP(VLOOKUP(WEEKDAY(DATE($A$2,INT((COLUMN()-1)/31.001)+$A$1,ROUNDUP(MOD(COLUMN()-1,31.001),0)),2),Sheet3!$D$1:$E$7,2,0),$NW$21:$NX$35,2,0)="Yes"))</f>
        <v>0</v>
      </c>
      <c r="AI3" s="13" t="b">
        <f>AND(NOT(ISNUMBER(MATCH(DATE($A$2,INT((COLUMN()-1)/31.001)+$A$1,ROUNDUP(MOD(COLUMN()-1,31.001),0)),HolidayList[Date],0))),(VLOOKUP(VLOOKUP(WEEKDAY(DATE($A$2,INT((COLUMN()-1)/31.001)+$A$1,ROUNDUP(MOD(COLUMN()-1,31.001),0)),2),Sheet3!$D$1:$E$7,2,0),$NW$21:$NX$35,2,0)="Yes"))</f>
        <v>1</v>
      </c>
      <c r="AJ3" s="13" t="b">
        <f>AND(NOT(ISNUMBER(MATCH(DATE($A$2,INT((COLUMN()-1)/31.001)+$A$1,ROUNDUP(MOD(COLUMN()-1,31.001),0)),HolidayList[Date],0))),(VLOOKUP(VLOOKUP(WEEKDAY(DATE($A$2,INT((COLUMN()-1)/31.001)+$A$1,ROUNDUP(MOD(COLUMN()-1,31.001),0)),2),Sheet3!$D$1:$E$7,2,0),$NW$21:$NX$35,2,0)="Yes"))</f>
        <v>1</v>
      </c>
      <c r="AK3" s="13" t="b">
        <f>AND(NOT(ISNUMBER(MATCH(DATE($A$2,INT((COLUMN()-1)/31.001)+$A$1,ROUNDUP(MOD(COLUMN()-1,31.001),0)),HolidayList[Date],0))),(VLOOKUP(VLOOKUP(WEEKDAY(DATE($A$2,INT((COLUMN()-1)/31.001)+$A$1,ROUNDUP(MOD(COLUMN()-1,31.001),0)),2),Sheet3!$D$1:$E$7,2,0),$NW$21:$NX$35,2,0)="Yes"))</f>
        <v>1</v>
      </c>
      <c r="AL3" s="13" t="b">
        <f>AND(NOT(ISNUMBER(MATCH(DATE($A$2,INT((COLUMN()-1)/31.001)+$A$1,ROUNDUP(MOD(COLUMN()-1,31.001),0)),HolidayList[Date],0))),(VLOOKUP(VLOOKUP(WEEKDAY(DATE($A$2,INT((COLUMN()-1)/31.001)+$A$1,ROUNDUP(MOD(COLUMN()-1,31.001),0)),2),Sheet3!$D$1:$E$7,2,0),$NW$21:$NX$35,2,0)="Yes"))</f>
        <v>1</v>
      </c>
      <c r="AM3" s="13" t="b">
        <f>AND(NOT(ISNUMBER(MATCH(DATE($A$2,INT((COLUMN()-1)/31.001)+$A$1,ROUNDUP(MOD(COLUMN()-1,31.001),0)),HolidayList[Date],0))),(VLOOKUP(VLOOKUP(WEEKDAY(DATE($A$2,INT((COLUMN()-1)/31.001)+$A$1,ROUNDUP(MOD(COLUMN()-1,31.001),0)),2),Sheet3!$D$1:$E$7,2,0),$NW$21:$NX$35,2,0)="Yes"))</f>
        <v>1</v>
      </c>
      <c r="AN3" s="13" t="b">
        <f>AND(NOT(ISNUMBER(MATCH(DATE($A$2,INT((COLUMN()-1)/31.001)+$A$1,ROUNDUP(MOD(COLUMN()-1,31.001),0)),HolidayList[Date],0))),(VLOOKUP(VLOOKUP(WEEKDAY(DATE($A$2,INT((COLUMN()-1)/31.001)+$A$1,ROUNDUP(MOD(COLUMN()-1,31.001),0)),2),Sheet3!$D$1:$E$7,2,0),$NW$21:$NX$35,2,0)="Yes"))</f>
        <v>0</v>
      </c>
      <c r="AO3" s="13" t="b">
        <f>AND(NOT(ISNUMBER(MATCH(DATE($A$2,INT((COLUMN()-1)/31.001)+$A$1,ROUNDUP(MOD(COLUMN()-1,31.001),0)),HolidayList[Date],0))),(VLOOKUP(VLOOKUP(WEEKDAY(DATE($A$2,INT((COLUMN()-1)/31.001)+$A$1,ROUNDUP(MOD(COLUMN()-1,31.001),0)),2),Sheet3!$D$1:$E$7,2,0),$NW$21:$NX$35,2,0)="Yes"))</f>
        <v>0</v>
      </c>
      <c r="AP3" s="13" t="b">
        <f>AND(NOT(ISNUMBER(MATCH(DATE($A$2,INT((COLUMN()-1)/31.001)+$A$1,ROUNDUP(MOD(COLUMN()-1,31.001),0)),HolidayList[Date],0))),(VLOOKUP(VLOOKUP(WEEKDAY(DATE($A$2,INT((COLUMN()-1)/31.001)+$A$1,ROUNDUP(MOD(COLUMN()-1,31.001),0)),2),Sheet3!$D$1:$E$7,2,0),$NW$21:$NX$35,2,0)="Yes"))</f>
        <v>1</v>
      </c>
      <c r="AQ3" s="13" t="b">
        <f>AND(NOT(ISNUMBER(MATCH(DATE($A$2,INT((COLUMN()-1)/31.001)+$A$1,ROUNDUP(MOD(COLUMN()-1,31.001),0)),HolidayList[Date],0))),(VLOOKUP(VLOOKUP(WEEKDAY(DATE($A$2,INT((COLUMN()-1)/31.001)+$A$1,ROUNDUP(MOD(COLUMN()-1,31.001),0)),2),Sheet3!$D$1:$E$7,2,0),$NW$21:$NX$35,2,0)="Yes"))</f>
        <v>1</v>
      </c>
      <c r="AR3" s="13" t="b">
        <f>AND(NOT(ISNUMBER(MATCH(DATE($A$2,INT((COLUMN()-1)/31.001)+$A$1,ROUNDUP(MOD(COLUMN()-1,31.001),0)),HolidayList[Date],0))),(VLOOKUP(VLOOKUP(WEEKDAY(DATE($A$2,INT((COLUMN()-1)/31.001)+$A$1,ROUNDUP(MOD(COLUMN()-1,31.001),0)),2),Sheet3!$D$1:$E$7,2,0),$NW$21:$NX$35,2,0)="Yes"))</f>
        <v>1</v>
      </c>
      <c r="AS3" s="13" t="b">
        <f>AND(NOT(ISNUMBER(MATCH(DATE($A$2,INT((COLUMN()-1)/31.001)+$A$1,ROUNDUP(MOD(COLUMN()-1,31.001),0)),HolidayList[Date],0))),(VLOOKUP(VLOOKUP(WEEKDAY(DATE($A$2,INT((COLUMN()-1)/31.001)+$A$1,ROUNDUP(MOD(COLUMN()-1,31.001),0)),2),Sheet3!$D$1:$E$7,2,0),$NW$21:$NX$35,2,0)="Yes"))</f>
        <v>1</v>
      </c>
      <c r="AT3" s="13" t="b">
        <f>AND(NOT(ISNUMBER(MATCH(DATE($A$2,INT((COLUMN()-1)/31.001)+$A$1,ROUNDUP(MOD(COLUMN()-1,31.001),0)),HolidayList[Date],0))),(VLOOKUP(VLOOKUP(WEEKDAY(DATE($A$2,INT((COLUMN()-1)/31.001)+$A$1,ROUNDUP(MOD(COLUMN()-1,31.001),0)),2),Sheet3!$D$1:$E$7,2,0),$NW$21:$NX$35,2,0)="Yes"))</f>
        <v>1</v>
      </c>
      <c r="AU3" s="13" t="b">
        <f>AND(NOT(ISNUMBER(MATCH(DATE($A$2,INT((COLUMN()-1)/31.001)+$A$1,ROUNDUP(MOD(COLUMN()-1,31.001),0)),HolidayList[Date],0))),(VLOOKUP(VLOOKUP(WEEKDAY(DATE($A$2,INT((COLUMN()-1)/31.001)+$A$1,ROUNDUP(MOD(COLUMN()-1,31.001),0)),2),Sheet3!$D$1:$E$7,2,0),$NW$21:$NX$35,2,0)="Yes"))</f>
        <v>0</v>
      </c>
      <c r="AV3" s="13" t="b">
        <f>AND(NOT(ISNUMBER(MATCH(DATE($A$2,INT((COLUMN()-1)/31.001)+$A$1,ROUNDUP(MOD(COLUMN()-1,31.001),0)),HolidayList[Date],0))),(VLOOKUP(VLOOKUP(WEEKDAY(DATE($A$2,INT((COLUMN()-1)/31.001)+$A$1,ROUNDUP(MOD(COLUMN()-1,31.001),0)),2),Sheet3!$D$1:$E$7,2,0),$NW$21:$NX$35,2,0)="Yes"))</f>
        <v>0</v>
      </c>
      <c r="AW3" s="13" t="b">
        <f>AND(NOT(ISNUMBER(MATCH(DATE($A$2,INT((COLUMN()-1)/31.001)+$A$1,ROUNDUP(MOD(COLUMN()-1,31.001),0)),HolidayList[Date],0))),(VLOOKUP(VLOOKUP(WEEKDAY(DATE($A$2,INT((COLUMN()-1)/31.001)+$A$1,ROUNDUP(MOD(COLUMN()-1,31.001),0)),2),Sheet3!$D$1:$E$7,2,0),$NW$21:$NX$35,2,0)="Yes"))</f>
        <v>1</v>
      </c>
      <c r="AX3" s="13" t="b">
        <f>AND(NOT(ISNUMBER(MATCH(DATE($A$2,INT((COLUMN()-1)/31.001)+$A$1,ROUNDUP(MOD(COLUMN()-1,31.001),0)),HolidayList[Date],0))),(VLOOKUP(VLOOKUP(WEEKDAY(DATE($A$2,INT((COLUMN()-1)/31.001)+$A$1,ROUNDUP(MOD(COLUMN()-1,31.001),0)),2),Sheet3!$D$1:$E$7,2,0),$NW$21:$NX$35,2,0)="Yes"))</f>
        <v>1</v>
      </c>
      <c r="AY3" s="13" t="b">
        <f>AND(NOT(ISNUMBER(MATCH(DATE($A$2,INT((COLUMN()-1)/31.001)+$A$1,ROUNDUP(MOD(COLUMN()-1,31.001),0)),HolidayList[Date],0))),(VLOOKUP(VLOOKUP(WEEKDAY(DATE($A$2,INT((COLUMN()-1)/31.001)+$A$1,ROUNDUP(MOD(COLUMN()-1,31.001),0)),2),Sheet3!$D$1:$E$7,2,0),$NW$21:$NX$35,2,0)="Yes"))</f>
        <v>1</v>
      </c>
      <c r="AZ3" s="13" t="b">
        <f>AND(NOT(ISNUMBER(MATCH(DATE($A$2,INT((COLUMN()-1)/31.001)+$A$1,ROUNDUP(MOD(COLUMN()-1,31.001),0)),HolidayList[Date],0))),(VLOOKUP(VLOOKUP(WEEKDAY(DATE($A$2,INT((COLUMN()-1)/31.001)+$A$1,ROUNDUP(MOD(COLUMN()-1,31.001),0)),2),Sheet3!$D$1:$E$7,2,0),$NW$21:$NX$35,2,0)="Yes"))</f>
        <v>1</v>
      </c>
      <c r="BA3" s="13" t="b">
        <f>AND(NOT(ISNUMBER(MATCH(DATE($A$2,INT((COLUMN()-1)/31.001)+$A$1,ROUNDUP(MOD(COLUMN()-1,31.001),0)),HolidayList[Date],0))),(VLOOKUP(VLOOKUP(WEEKDAY(DATE($A$2,INT((COLUMN()-1)/31.001)+$A$1,ROUNDUP(MOD(COLUMN()-1,31.001),0)),2),Sheet3!$D$1:$E$7,2,0),$NW$21:$NX$35,2,0)="Yes"))</f>
        <v>1</v>
      </c>
      <c r="BB3" s="13" t="b">
        <f>AND(NOT(ISNUMBER(MATCH(DATE($A$2,INT((COLUMN()-1)/31.001)+$A$1,ROUNDUP(MOD(COLUMN()-1,31.001),0)),HolidayList[Date],0))),(VLOOKUP(VLOOKUP(WEEKDAY(DATE($A$2,INT((COLUMN()-1)/31.001)+$A$1,ROUNDUP(MOD(COLUMN()-1,31.001),0)),2),Sheet3!$D$1:$E$7,2,0),$NW$21:$NX$35,2,0)="Yes"))</f>
        <v>0</v>
      </c>
      <c r="BC3" s="13" t="b">
        <f>AND(NOT(ISNUMBER(MATCH(DATE($A$2,INT((COLUMN()-1)/31.001)+$A$1,ROUNDUP(MOD(COLUMN()-1,31.001),0)),HolidayList[Date],0))),(VLOOKUP(VLOOKUP(WEEKDAY(DATE($A$2,INT((COLUMN()-1)/31.001)+$A$1,ROUNDUP(MOD(COLUMN()-1,31.001),0)),2),Sheet3!$D$1:$E$7,2,0),$NW$21:$NX$35,2,0)="Yes"))</f>
        <v>0</v>
      </c>
      <c r="BD3" s="13" t="b">
        <f>AND(NOT(ISNUMBER(MATCH(DATE($A$2,INT((COLUMN()-1)/31.001)+$A$1,ROUNDUP(MOD(COLUMN()-1,31.001),0)),HolidayList[Date],0))),(VLOOKUP(VLOOKUP(WEEKDAY(DATE($A$2,INT((COLUMN()-1)/31.001)+$A$1,ROUNDUP(MOD(COLUMN()-1,31.001),0)),2),Sheet3!$D$1:$E$7,2,0),$NW$21:$NX$35,2,0)="Yes"))</f>
        <v>1</v>
      </c>
      <c r="BE3" s="13" t="b">
        <f>AND(NOT(ISNUMBER(MATCH(DATE($A$2,INT((COLUMN()-1)/31.001)+$A$1,ROUNDUP(MOD(COLUMN()-1,31.001),0)),HolidayList[Date],0))),(VLOOKUP(VLOOKUP(WEEKDAY(DATE($A$2,INT((COLUMN()-1)/31.001)+$A$1,ROUNDUP(MOD(COLUMN()-1,31.001),0)),2),Sheet3!$D$1:$E$7,2,0),$NW$21:$NX$35,2,0)="Yes"))</f>
        <v>1</v>
      </c>
      <c r="BF3" s="13" t="b">
        <f>AND(NOT(ISNUMBER(MATCH(DATE($A$2,INT((COLUMN()-1)/31.001)+$A$1,ROUNDUP(MOD(COLUMN()-1,31.001),0)),HolidayList[Date],0))),(VLOOKUP(VLOOKUP(WEEKDAY(DATE($A$2,INT((COLUMN()-1)/31.001)+$A$1,ROUNDUP(MOD(COLUMN()-1,31.001),0)),2),Sheet3!$D$1:$E$7,2,0),$NW$21:$NX$35,2,0)="Yes"))</f>
        <v>1</v>
      </c>
      <c r="BG3" s="13" t="b">
        <f>AND(NOT(ISNUMBER(MATCH(DATE($A$2,INT((COLUMN()-1)/31.001)+$A$1,ROUNDUP(MOD(COLUMN()-1,31.001),0)),HolidayList[Date],0))),(VLOOKUP(VLOOKUP(WEEKDAY(DATE($A$2,INT((COLUMN()-1)/31.001)+$A$1,ROUNDUP(MOD(COLUMN()-1,31.001),0)),2),Sheet3!$D$1:$E$7,2,0),$NW$21:$NX$35,2,0)="Yes"))</f>
        <v>1</v>
      </c>
      <c r="BH3" s="13" t="b">
        <f>AND(NOT(ISNUMBER(MATCH(DATE($A$2,INT((COLUMN()-1)/31.001)+$A$1,ROUNDUP(MOD(COLUMN()-1,31.001),0)),HolidayList[Date],0))),(VLOOKUP(VLOOKUP(WEEKDAY(DATE($A$2,INT((COLUMN()-1)/31.001)+$A$1,ROUNDUP(MOD(COLUMN()-1,31.001),0)),2),Sheet3!$D$1:$E$7,2,0),$NW$21:$NX$35,2,0)="Yes"))</f>
        <v>1</v>
      </c>
      <c r="BI3" s="13" t="b">
        <f>AND(NOT(ISNUMBER(MATCH(DATE($A$2,INT((COLUMN()-1)/31.001)+$A$1,ROUNDUP(MOD(COLUMN()-1,31.001),0)),HolidayList[Date],0))),(VLOOKUP(VLOOKUP(WEEKDAY(DATE($A$2,INT((COLUMN()-1)/31.001)+$A$1,ROUNDUP(MOD(COLUMN()-1,31.001),0)),2),Sheet3!$D$1:$E$7,2,0),$NW$21:$NX$35,2,0)="Yes"))</f>
        <v>0</v>
      </c>
      <c r="BJ3" s="13" t="b">
        <f>AND(NOT(ISNUMBER(MATCH(DATE($A$2,INT((COLUMN()-1)/31.001)+$A$1,ROUNDUP(MOD(COLUMN()-1,31.001),0)),HolidayList[Date],0))),(VLOOKUP(VLOOKUP(WEEKDAY(DATE($A$2,INT((COLUMN()-1)/31.001)+$A$1,ROUNDUP(MOD(COLUMN()-1,31.001),0)),2),Sheet3!$D$1:$E$7,2,0),$NW$21:$NX$35,2,0)="Yes"))</f>
        <v>0</v>
      </c>
      <c r="BK3" s="13" t="b">
        <f>AND(NOT(ISNUMBER(MATCH(DATE($A$2,INT((COLUMN()-1)/31.001)+$A$1,ROUNDUP(MOD(COLUMN()-1,31.001),0)),HolidayList[Date],0))),(VLOOKUP(VLOOKUP(WEEKDAY(DATE($A$2,INT((COLUMN()-1)/31.001)+$A$1,ROUNDUP(MOD(COLUMN()-1,31.001),0)),2),Sheet3!$D$1:$E$7,2,0),$NW$21:$NX$35,2,0)="Yes"))</f>
        <v>1</v>
      </c>
      <c r="BL3" s="13" t="b">
        <f>AND(NOT(ISNUMBER(MATCH(DATE($A$2,INT((COLUMN()-1)/31.001)+$A$1,ROUNDUP(MOD(COLUMN()-1,31.001),0)),HolidayList[Date],0))),(VLOOKUP(VLOOKUP(WEEKDAY(DATE($A$2,INT((COLUMN()-1)/31.001)+$A$1,ROUNDUP(MOD(COLUMN()-1,31.001),0)),2),Sheet3!$D$1:$E$7,2,0),$NW$21:$NX$35,2,0)="Yes"))</f>
        <v>0</v>
      </c>
      <c r="BM3" s="13" t="b">
        <f>AND(NOT(ISNUMBER(MATCH(DATE($A$2,INT((COLUMN()-1)/31.001)+$A$1,ROUNDUP(MOD(COLUMN()-1,31.001),0)),HolidayList[Date],0))),(VLOOKUP(VLOOKUP(WEEKDAY(DATE($A$2,INT((COLUMN()-1)/31.001)+$A$1,ROUNDUP(MOD(COLUMN()-1,31.001),0)),2),Sheet3!$D$1:$E$7,2,0),$NW$21:$NX$35,2,0)="Yes"))</f>
        <v>0</v>
      </c>
      <c r="BN3" s="13" t="b">
        <f>AND(NOT(ISNUMBER(MATCH(DATE($A$2,INT((COLUMN()-1)/31.001)+$A$1,ROUNDUP(MOD(COLUMN()-1,31.001),0)),HolidayList[Date],0))),(VLOOKUP(VLOOKUP(WEEKDAY(DATE($A$2,INT((COLUMN()-1)/31.001)+$A$1,ROUNDUP(MOD(COLUMN()-1,31.001),0)),2),Sheet3!$D$1:$E$7,2,0),$NW$21:$NX$35,2,0)="Yes"))</f>
        <v>1</v>
      </c>
      <c r="BO3" s="13" t="b">
        <f>AND(NOT(ISNUMBER(MATCH(DATE($A$2,INT((COLUMN()-1)/31.001)+$A$1,ROUNDUP(MOD(COLUMN()-1,31.001),0)),HolidayList[Date],0))),(VLOOKUP(VLOOKUP(WEEKDAY(DATE($A$2,INT((COLUMN()-1)/31.001)+$A$1,ROUNDUP(MOD(COLUMN()-1,31.001),0)),2),Sheet3!$D$1:$E$7,2,0),$NW$21:$NX$35,2,0)="Yes"))</f>
        <v>1</v>
      </c>
      <c r="BP3" s="13" t="b">
        <f>AND(NOT(ISNUMBER(MATCH(DATE($A$2,INT((COLUMN()-1)/31.001)+$A$1,ROUNDUP(MOD(COLUMN()-1,31.001),0)),HolidayList[Date],0))),(VLOOKUP(VLOOKUP(WEEKDAY(DATE($A$2,INT((COLUMN()-1)/31.001)+$A$1,ROUNDUP(MOD(COLUMN()-1,31.001),0)),2),Sheet3!$D$1:$E$7,2,0),$NW$21:$NX$35,2,0)="Yes"))</f>
        <v>1</v>
      </c>
      <c r="BQ3" s="13" t="b">
        <f>AND(NOT(ISNUMBER(MATCH(DATE($A$2,INT((COLUMN()-1)/31.001)+$A$1,ROUNDUP(MOD(COLUMN()-1,31.001),0)),HolidayList[Date],0))),(VLOOKUP(VLOOKUP(WEEKDAY(DATE($A$2,INT((COLUMN()-1)/31.001)+$A$1,ROUNDUP(MOD(COLUMN()-1,31.001),0)),2),Sheet3!$D$1:$E$7,2,0),$NW$21:$NX$35,2,0)="Yes"))</f>
        <v>1</v>
      </c>
      <c r="BR3" s="13" t="b">
        <f>AND(NOT(ISNUMBER(MATCH(DATE($A$2,INT((COLUMN()-1)/31.001)+$A$1,ROUNDUP(MOD(COLUMN()-1,31.001),0)),HolidayList[Date],0))),(VLOOKUP(VLOOKUP(WEEKDAY(DATE($A$2,INT((COLUMN()-1)/31.001)+$A$1,ROUNDUP(MOD(COLUMN()-1,31.001),0)),2),Sheet3!$D$1:$E$7,2,0),$NW$21:$NX$35,2,0)="Yes"))</f>
        <v>1</v>
      </c>
      <c r="BS3" s="13" t="b">
        <f>AND(NOT(ISNUMBER(MATCH(DATE($A$2,INT((COLUMN()-1)/31.001)+$A$1,ROUNDUP(MOD(COLUMN()-1,31.001),0)),HolidayList[Date],0))),(VLOOKUP(VLOOKUP(WEEKDAY(DATE($A$2,INT((COLUMN()-1)/31.001)+$A$1,ROUNDUP(MOD(COLUMN()-1,31.001),0)),2),Sheet3!$D$1:$E$7,2,0),$NW$21:$NX$35,2,0)="Yes"))</f>
        <v>0</v>
      </c>
      <c r="BT3" s="13" t="b">
        <f>AND(NOT(ISNUMBER(MATCH(DATE($A$2,INT((COLUMN()-1)/31.001)+$A$1,ROUNDUP(MOD(COLUMN()-1,31.001),0)),HolidayList[Date],0))),(VLOOKUP(VLOOKUP(WEEKDAY(DATE($A$2,INT((COLUMN()-1)/31.001)+$A$1,ROUNDUP(MOD(COLUMN()-1,31.001),0)),2),Sheet3!$D$1:$E$7,2,0),$NW$21:$NX$35,2,0)="Yes"))</f>
        <v>0</v>
      </c>
      <c r="BU3" s="13" t="b">
        <f>AND(NOT(ISNUMBER(MATCH(DATE($A$2,INT((COLUMN()-1)/31.001)+$A$1,ROUNDUP(MOD(COLUMN()-1,31.001),0)),HolidayList[Date],0))),(VLOOKUP(VLOOKUP(WEEKDAY(DATE($A$2,INT((COLUMN()-1)/31.001)+$A$1,ROUNDUP(MOD(COLUMN()-1,31.001),0)),2),Sheet3!$D$1:$E$7,2,0),$NW$21:$NX$35,2,0)="Yes"))</f>
        <v>1</v>
      </c>
      <c r="BV3" s="13" t="b">
        <f>AND(NOT(ISNUMBER(MATCH(DATE($A$2,INT((COLUMN()-1)/31.001)+$A$1,ROUNDUP(MOD(COLUMN()-1,31.001),0)),HolidayList[Date],0))),(VLOOKUP(VLOOKUP(WEEKDAY(DATE($A$2,INT((COLUMN()-1)/31.001)+$A$1,ROUNDUP(MOD(COLUMN()-1,31.001),0)),2),Sheet3!$D$1:$E$7,2,0),$NW$21:$NX$35,2,0)="Yes"))</f>
        <v>1</v>
      </c>
      <c r="BW3" s="13" t="b">
        <f>AND(NOT(ISNUMBER(MATCH(DATE($A$2,INT((COLUMN()-1)/31.001)+$A$1,ROUNDUP(MOD(COLUMN()-1,31.001),0)),HolidayList[Date],0))),(VLOOKUP(VLOOKUP(WEEKDAY(DATE($A$2,INT((COLUMN()-1)/31.001)+$A$1,ROUNDUP(MOD(COLUMN()-1,31.001),0)),2),Sheet3!$D$1:$E$7,2,0),$NW$21:$NX$35,2,0)="Yes"))</f>
        <v>1</v>
      </c>
      <c r="BX3" s="13" t="b">
        <f>AND(NOT(ISNUMBER(MATCH(DATE($A$2,INT((COLUMN()-1)/31.001)+$A$1,ROUNDUP(MOD(COLUMN()-1,31.001),0)),HolidayList[Date],0))),(VLOOKUP(VLOOKUP(WEEKDAY(DATE($A$2,INT((COLUMN()-1)/31.001)+$A$1,ROUNDUP(MOD(COLUMN()-1,31.001),0)),2),Sheet3!$D$1:$E$7,2,0),$NW$21:$NX$35,2,0)="Yes"))</f>
        <v>1</v>
      </c>
      <c r="BY3" s="13" t="b">
        <f>AND(NOT(ISNUMBER(MATCH(DATE($A$2,INT((COLUMN()-1)/31.001)+$A$1,ROUNDUP(MOD(COLUMN()-1,31.001),0)),HolidayList[Date],0))),(VLOOKUP(VLOOKUP(WEEKDAY(DATE($A$2,INT((COLUMN()-1)/31.001)+$A$1,ROUNDUP(MOD(COLUMN()-1,31.001),0)),2),Sheet3!$D$1:$E$7,2,0),$NW$21:$NX$35,2,0)="Yes"))</f>
        <v>1</v>
      </c>
      <c r="BZ3" s="13" t="b">
        <f>AND(NOT(ISNUMBER(MATCH(DATE($A$2,INT((COLUMN()-1)/31.001)+$A$1,ROUNDUP(MOD(COLUMN()-1,31.001),0)),HolidayList[Date],0))),(VLOOKUP(VLOOKUP(WEEKDAY(DATE($A$2,INT((COLUMN()-1)/31.001)+$A$1,ROUNDUP(MOD(COLUMN()-1,31.001),0)),2),Sheet3!$D$1:$E$7,2,0),$NW$21:$NX$35,2,0)="Yes"))</f>
        <v>0</v>
      </c>
      <c r="CA3" s="13" t="b">
        <f>AND(NOT(ISNUMBER(MATCH(DATE($A$2,INT((COLUMN()-1)/31.001)+$A$1,ROUNDUP(MOD(COLUMN()-1,31.001),0)),HolidayList[Date],0))),(VLOOKUP(VLOOKUP(WEEKDAY(DATE($A$2,INT((COLUMN()-1)/31.001)+$A$1,ROUNDUP(MOD(COLUMN()-1,31.001),0)),2),Sheet3!$D$1:$E$7,2,0),$NW$21:$NX$35,2,0)="Yes"))</f>
        <v>0</v>
      </c>
      <c r="CB3" s="13" t="b">
        <f>AND(NOT(ISNUMBER(MATCH(DATE($A$2,INT((COLUMN()-1)/31.001)+$A$1,ROUNDUP(MOD(COLUMN()-1,31.001),0)),HolidayList[Date],0))),(VLOOKUP(VLOOKUP(WEEKDAY(DATE($A$2,INT((COLUMN()-1)/31.001)+$A$1,ROUNDUP(MOD(COLUMN()-1,31.001),0)),2),Sheet3!$D$1:$E$7,2,0),$NW$21:$NX$35,2,0)="Yes"))</f>
        <v>1</v>
      </c>
      <c r="CC3" s="13" t="b">
        <f>AND(NOT(ISNUMBER(MATCH(DATE($A$2,INT((COLUMN()-1)/31.001)+$A$1,ROUNDUP(MOD(COLUMN()-1,31.001),0)),HolidayList[Date],0))),(VLOOKUP(VLOOKUP(WEEKDAY(DATE($A$2,INT((COLUMN()-1)/31.001)+$A$1,ROUNDUP(MOD(COLUMN()-1,31.001),0)),2),Sheet3!$D$1:$E$7,2,0),$NW$21:$NX$35,2,0)="Yes"))</f>
        <v>1</v>
      </c>
      <c r="CD3" s="13" t="b">
        <f>AND(NOT(ISNUMBER(MATCH(DATE($A$2,INT((COLUMN()-1)/31.001)+$A$1,ROUNDUP(MOD(COLUMN()-1,31.001),0)),HolidayList[Date],0))),(VLOOKUP(VLOOKUP(WEEKDAY(DATE($A$2,INT((COLUMN()-1)/31.001)+$A$1,ROUNDUP(MOD(COLUMN()-1,31.001),0)),2),Sheet3!$D$1:$E$7,2,0),$NW$21:$NX$35,2,0)="Yes"))</f>
        <v>1</v>
      </c>
      <c r="CE3" s="13" t="b">
        <f>AND(NOT(ISNUMBER(MATCH(DATE($A$2,INT((COLUMN()-1)/31.001)+$A$1,ROUNDUP(MOD(COLUMN()-1,31.001),0)),HolidayList[Date],0))),(VLOOKUP(VLOOKUP(WEEKDAY(DATE($A$2,INT((COLUMN()-1)/31.001)+$A$1,ROUNDUP(MOD(COLUMN()-1,31.001),0)),2),Sheet3!$D$1:$E$7,2,0),$NW$21:$NX$35,2,0)="Yes"))</f>
        <v>1</v>
      </c>
      <c r="CF3" s="13" t="b">
        <f>AND(NOT(ISNUMBER(MATCH(DATE($A$2,INT((COLUMN()-1)/31.001)+$A$1,ROUNDUP(MOD(COLUMN()-1,31.001),0)),HolidayList[Date],0))),(VLOOKUP(VLOOKUP(WEEKDAY(DATE($A$2,INT((COLUMN()-1)/31.001)+$A$1,ROUNDUP(MOD(COLUMN()-1,31.001),0)),2),Sheet3!$D$1:$E$7,2,0),$NW$21:$NX$35,2,0)="Yes"))</f>
        <v>1</v>
      </c>
      <c r="CG3" s="13" t="b">
        <f>AND(NOT(ISNUMBER(MATCH(DATE($A$2,INT((COLUMN()-1)/31.001)+$A$1,ROUNDUP(MOD(COLUMN()-1,31.001),0)),HolidayList[Date],0))),(VLOOKUP(VLOOKUP(WEEKDAY(DATE($A$2,INT((COLUMN()-1)/31.001)+$A$1,ROUNDUP(MOD(COLUMN()-1,31.001),0)),2),Sheet3!$D$1:$E$7,2,0),$NW$21:$NX$35,2,0)="Yes"))</f>
        <v>0</v>
      </c>
      <c r="CH3" s="13" t="b">
        <f>AND(NOT(ISNUMBER(MATCH(DATE($A$2,INT((COLUMN()-1)/31.001)+$A$1,ROUNDUP(MOD(COLUMN()-1,31.001),0)),HolidayList[Date],0))),(VLOOKUP(VLOOKUP(WEEKDAY(DATE($A$2,INT((COLUMN()-1)/31.001)+$A$1,ROUNDUP(MOD(COLUMN()-1,31.001),0)),2),Sheet3!$D$1:$E$7,2,0),$NW$21:$NX$35,2,0)="Yes"))</f>
        <v>0</v>
      </c>
      <c r="CI3" s="13" t="b">
        <f>AND(NOT(ISNUMBER(MATCH(DATE($A$2,INT((COLUMN()-1)/31.001)+$A$1,ROUNDUP(MOD(COLUMN()-1,31.001),0)),HolidayList[Date],0))),(VLOOKUP(VLOOKUP(WEEKDAY(DATE($A$2,INT((COLUMN()-1)/31.001)+$A$1,ROUNDUP(MOD(COLUMN()-1,31.001),0)),2),Sheet3!$D$1:$E$7,2,0),$NW$21:$NX$35,2,0)="Yes"))</f>
        <v>1</v>
      </c>
      <c r="CJ3" s="13" t="b">
        <f>AND(NOT(ISNUMBER(MATCH(DATE($A$2,INT((COLUMN()-1)/31.001)+$A$1,ROUNDUP(MOD(COLUMN()-1,31.001),0)),HolidayList[Date],0))),(VLOOKUP(VLOOKUP(WEEKDAY(DATE($A$2,INT((COLUMN()-1)/31.001)+$A$1,ROUNDUP(MOD(COLUMN()-1,31.001),0)),2),Sheet3!$D$1:$E$7,2,0),$NW$21:$NX$35,2,0)="Yes"))</f>
        <v>1</v>
      </c>
      <c r="CK3" s="13" t="b">
        <f>AND(NOT(ISNUMBER(MATCH(DATE($A$2,INT((COLUMN()-1)/31.001)+$A$1,ROUNDUP(MOD(COLUMN()-1,31.001),0)),HolidayList[Date],0))),(VLOOKUP(VLOOKUP(WEEKDAY(DATE($A$2,INT((COLUMN()-1)/31.001)+$A$1,ROUNDUP(MOD(COLUMN()-1,31.001),0)),2),Sheet3!$D$1:$E$7,2,0),$NW$21:$NX$35,2,0)="Yes"))</f>
        <v>1</v>
      </c>
      <c r="CL3" s="13" t="b">
        <f>AND(NOT(ISNUMBER(MATCH(DATE($A$2,INT((COLUMN()-1)/31.001)+$A$1,ROUNDUP(MOD(COLUMN()-1,31.001),0)),HolidayList[Date],0))),(VLOOKUP(VLOOKUP(WEEKDAY(DATE($A$2,INT((COLUMN()-1)/31.001)+$A$1,ROUNDUP(MOD(COLUMN()-1,31.001),0)),2),Sheet3!$D$1:$E$7,2,0),$NW$21:$NX$35,2,0)="Yes"))</f>
        <v>1</v>
      </c>
      <c r="CM3" s="13" t="b">
        <f>AND(NOT(ISNUMBER(MATCH(DATE($A$2,INT((COLUMN()-1)/31.001)+$A$1,ROUNDUP(MOD(COLUMN()-1,31.001),0)),HolidayList[Date],0))),(VLOOKUP(VLOOKUP(WEEKDAY(DATE($A$2,INT((COLUMN()-1)/31.001)+$A$1,ROUNDUP(MOD(COLUMN()-1,31.001),0)),2),Sheet3!$D$1:$E$7,2,0),$NW$21:$NX$35,2,0)="Yes"))</f>
        <v>1</v>
      </c>
      <c r="CN3" s="13" t="b">
        <f>AND(NOT(ISNUMBER(MATCH(DATE($A$2,INT((COLUMN()-1)/31.001)+$A$1,ROUNDUP(MOD(COLUMN()-1,31.001),0)),HolidayList[Date],0))),(VLOOKUP(VLOOKUP(WEEKDAY(DATE($A$2,INT((COLUMN()-1)/31.001)+$A$1,ROUNDUP(MOD(COLUMN()-1,31.001),0)),2),Sheet3!$D$1:$E$7,2,0),$NW$21:$NX$35,2,0)="Yes"))</f>
        <v>0</v>
      </c>
      <c r="CO3" s="13" t="b">
        <f>AND(NOT(ISNUMBER(MATCH(DATE($A$2,INT((COLUMN()-1)/31.001)+$A$1,ROUNDUP(MOD(COLUMN()-1,31.001),0)),HolidayList[Date],0))),(VLOOKUP(VLOOKUP(WEEKDAY(DATE($A$2,INT((COLUMN()-1)/31.001)+$A$1,ROUNDUP(MOD(COLUMN()-1,31.001),0)),2),Sheet3!$D$1:$E$7,2,0),$NW$21:$NX$35,2,0)="Yes"))</f>
        <v>0</v>
      </c>
      <c r="CP3" s="13" t="b">
        <f>AND(NOT(ISNUMBER(MATCH(DATE($A$2,INT((COLUMN()-1)/31.001)+$A$1,ROUNDUP(MOD(COLUMN()-1,31.001),0)),HolidayList[Date],0))),(VLOOKUP(VLOOKUP(WEEKDAY(DATE($A$2,INT((COLUMN()-1)/31.001)+$A$1,ROUNDUP(MOD(COLUMN()-1,31.001),0)),2),Sheet3!$D$1:$E$7,2,0),$NW$21:$NX$35,2,0)="Yes"))</f>
        <v>1</v>
      </c>
      <c r="CQ3" s="13"/>
      <c r="CR3" s="13" t="b">
        <f>AND(NOT(ISNUMBER(MATCH(DATE($A$2,INT((COLUMN()-1)/31.001)+$A$1,ROUNDUP(MOD(COLUMN()-1,31.001),0)),HolidayList[Date],0))),(VLOOKUP(VLOOKUP(WEEKDAY(DATE($A$2,INT((COLUMN()-1)/31.001)+$A$1,ROUNDUP(MOD(COLUMN()-1,31.001),0)),2),Sheet3!$D$1:$E$7,2,0),$NW$21:$NX$35,2,0)="Yes"))</f>
        <v>1</v>
      </c>
      <c r="CS3" s="13" t="b">
        <f>AND(NOT(ISNUMBER(MATCH(DATE($A$2,INT((COLUMN()-1)/31.001)+$A$1,ROUNDUP(MOD(COLUMN()-1,31.001),0)),HolidayList[Date],0))),(VLOOKUP(VLOOKUP(WEEKDAY(DATE($A$2,INT((COLUMN()-1)/31.001)+$A$1,ROUNDUP(MOD(COLUMN()-1,31.001),0)),2),Sheet3!$D$1:$E$7,2,0),$NW$21:$NX$35,2,0)="Yes"))</f>
        <v>1</v>
      </c>
      <c r="CT3" s="13" t="b">
        <f>AND(NOT(ISNUMBER(MATCH(DATE($A$2,INT((COLUMN()-1)/31.001)+$A$1,ROUNDUP(MOD(COLUMN()-1,31.001),0)),HolidayList[Date],0))),(VLOOKUP(VLOOKUP(WEEKDAY(DATE($A$2,INT((COLUMN()-1)/31.001)+$A$1,ROUNDUP(MOD(COLUMN()-1,31.001),0)),2),Sheet3!$D$1:$E$7,2,0),$NW$21:$NX$35,2,0)="Yes"))</f>
        <v>1</v>
      </c>
      <c r="CU3" s="13" t="b">
        <f>AND(NOT(ISNUMBER(MATCH(DATE($A$2,INT((COLUMN()-1)/31.001)+$A$1,ROUNDUP(MOD(COLUMN()-1,31.001),0)),HolidayList[Date],0))),(VLOOKUP(VLOOKUP(WEEKDAY(DATE($A$2,INT((COLUMN()-1)/31.001)+$A$1,ROUNDUP(MOD(COLUMN()-1,31.001),0)),2),Sheet3!$D$1:$E$7,2,0),$NW$21:$NX$35,2,0)="Yes"))</f>
        <v>0</v>
      </c>
      <c r="CV3" s="13" t="b">
        <f>AND(NOT(ISNUMBER(MATCH(DATE($A$2,INT((COLUMN()-1)/31.001)+$A$1,ROUNDUP(MOD(COLUMN()-1,31.001),0)),HolidayList[Date],0))),(VLOOKUP(VLOOKUP(WEEKDAY(DATE($A$2,INT((COLUMN()-1)/31.001)+$A$1,ROUNDUP(MOD(COLUMN()-1,31.001),0)),2),Sheet3!$D$1:$E$7,2,0),$NW$21:$NX$35,2,0)="Yes"))</f>
        <v>0</v>
      </c>
      <c r="CW3" s="13" t="b">
        <f>AND(NOT(ISNUMBER(MATCH(DATE($A$2,INT((COLUMN()-1)/31.001)+$A$1,ROUNDUP(MOD(COLUMN()-1,31.001),0)),HolidayList[Date],0))),(VLOOKUP(VLOOKUP(WEEKDAY(DATE($A$2,INT((COLUMN()-1)/31.001)+$A$1,ROUNDUP(MOD(COLUMN()-1,31.001),0)),2),Sheet3!$D$1:$E$7,2,0),$NW$21:$NX$35,2,0)="Yes"))</f>
        <v>1</v>
      </c>
      <c r="CX3" s="13" t="b">
        <f>AND(NOT(ISNUMBER(MATCH(DATE($A$2,INT((COLUMN()-1)/31.001)+$A$1,ROUNDUP(MOD(COLUMN()-1,31.001),0)),HolidayList[Date],0))),(VLOOKUP(VLOOKUP(WEEKDAY(DATE($A$2,INT((COLUMN()-1)/31.001)+$A$1,ROUNDUP(MOD(COLUMN()-1,31.001),0)),2),Sheet3!$D$1:$E$7,2,0),$NW$21:$NX$35,2,0)="Yes"))</f>
        <v>1</v>
      </c>
      <c r="CY3" s="13" t="b">
        <f>AND(NOT(ISNUMBER(MATCH(DATE($A$2,INT((COLUMN()-1)/31.001)+$A$1,ROUNDUP(MOD(COLUMN()-1,31.001),0)),HolidayList[Date],0))),(VLOOKUP(VLOOKUP(WEEKDAY(DATE($A$2,INT((COLUMN()-1)/31.001)+$A$1,ROUNDUP(MOD(COLUMN()-1,31.001),0)),2),Sheet3!$D$1:$E$7,2,0),$NW$21:$NX$35,2,0)="Yes"))</f>
        <v>1</v>
      </c>
      <c r="CZ3" s="13" t="b">
        <f>AND(NOT(ISNUMBER(MATCH(DATE($A$2,INT((COLUMN()-1)/31.001)+$A$1,ROUNDUP(MOD(COLUMN()-1,31.001),0)),HolidayList[Date],0))),(VLOOKUP(VLOOKUP(WEEKDAY(DATE($A$2,INT((COLUMN()-1)/31.001)+$A$1,ROUNDUP(MOD(COLUMN()-1,31.001),0)),2),Sheet3!$D$1:$E$7,2,0),$NW$21:$NX$35,2,0)="Yes"))</f>
        <v>1</v>
      </c>
      <c r="DA3" s="13" t="b">
        <f>AND(NOT(ISNUMBER(MATCH(DATE($A$2,INT((COLUMN()-1)/31.001)+$A$1,ROUNDUP(MOD(COLUMN()-1,31.001),0)),HolidayList[Date],0))),(VLOOKUP(VLOOKUP(WEEKDAY(DATE($A$2,INT((COLUMN()-1)/31.001)+$A$1,ROUNDUP(MOD(COLUMN()-1,31.001),0)),2),Sheet3!$D$1:$E$7,2,0),$NW$21:$NX$35,2,0)="Yes"))</f>
        <v>1</v>
      </c>
      <c r="DB3" s="13" t="b">
        <f>AND(NOT(ISNUMBER(MATCH(DATE($A$2,INT((COLUMN()-1)/31.001)+$A$1,ROUNDUP(MOD(COLUMN()-1,31.001),0)),HolidayList[Date],0))),(VLOOKUP(VLOOKUP(WEEKDAY(DATE($A$2,INT((COLUMN()-1)/31.001)+$A$1,ROUNDUP(MOD(COLUMN()-1,31.001),0)),2),Sheet3!$D$1:$E$7,2,0),$NW$21:$NX$35,2,0)="Yes"))</f>
        <v>0</v>
      </c>
      <c r="DC3" s="13" t="b">
        <f>AND(NOT(ISNUMBER(MATCH(DATE($A$2,INT((COLUMN()-1)/31.001)+$A$1,ROUNDUP(MOD(COLUMN()-1,31.001),0)),HolidayList[Date],0))),(VLOOKUP(VLOOKUP(WEEKDAY(DATE($A$2,INT((COLUMN()-1)/31.001)+$A$1,ROUNDUP(MOD(COLUMN()-1,31.001),0)),2),Sheet3!$D$1:$E$7,2,0),$NW$21:$NX$35,2,0)="Yes"))</f>
        <v>0</v>
      </c>
      <c r="DD3" s="13" t="b">
        <f>AND(NOT(ISNUMBER(MATCH(DATE($A$2,INT((COLUMN()-1)/31.001)+$A$1,ROUNDUP(MOD(COLUMN()-1,31.001),0)),HolidayList[Date],0))),(VLOOKUP(VLOOKUP(WEEKDAY(DATE($A$2,INT((COLUMN()-1)/31.001)+$A$1,ROUNDUP(MOD(COLUMN()-1,31.001),0)),2),Sheet3!$D$1:$E$7,2,0),$NW$21:$NX$35,2,0)="Yes"))</f>
        <v>1</v>
      </c>
      <c r="DE3" s="13" t="b">
        <f>AND(NOT(ISNUMBER(MATCH(DATE($A$2,INT((COLUMN()-1)/31.001)+$A$1,ROUNDUP(MOD(COLUMN()-1,31.001),0)),HolidayList[Date],0))),(VLOOKUP(VLOOKUP(WEEKDAY(DATE($A$2,INT((COLUMN()-1)/31.001)+$A$1,ROUNDUP(MOD(COLUMN()-1,31.001),0)),2),Sheet3!$D$1:$E$7,2,0),$NW$21:$NX$35,2,0)="Yes"))</f>
        <v>1</v>
      </c>
      <c r="DF3" s="13" t="b">
        <f>AND(NOT(ISNUMBER(MATCH(DATE($A$2,INT((COLUMN()-1)/31.001)+$A$1,ROUNDUP(MOD(COLUMN()-1,31.001),0)),HolidayList[Date],0))),(VLOOKUP(VLOOKUP(WEEKDAY(DATE($A$2,INT((COLUMN()-1)/31.001)+$A$1,ROUNDUP(MOD(COLUMN()-1,31.001),0)),2),Sheet3!$D$1:$E$7,2,0),$NW$21:$NX$35,2,0)="Yes"))</f>
        <v>1</v>
      </c>
      <c r="DG3" s="13" t="b">
        <f>AND(NOT(ISNUMBER(MATCH(DATE($A$2,INT((COLUMN()-1)/31.001)+$A$1,ROUNDUP(MOD(COLUMN()-1,31.001),0)),HolidayList[Date],0))),(VLOOKUP(VLOOKUP(WEEKDAY(DATE($A$2,INT((COLUMN()-1)/31.001)+$A$1,ROUNDUP(MOD(COLUMN()-1,31.001),0)),2),Sheet3!$D$1:$E$7,2,0),$NW$21:$NX$35,2,0)="Yes"))</f>
        <v>1</v>
      </c>
      <c r="DH3" s="13" t="b">
        <f>AND(NOT(ISNUMBER(MATCH(DATE($A$2,INT((COLUMN()-1)/31.001)+$A$1,ROUNDUP(MOD(COLUMN()-1,31.001),0)),HolidayList[Date],0))),(VLOOKUP(VLOOKUP(WEEKDAY(DATE($A$2,INT((COLUMN()-1)/31.001)+$A$1,ROUNDUP(MOD(COLUMN()-1,31.001),0)),2),Sheet3!$D$1:$E$7,2,0),$NW$21:$NX$35,2,0)="Yes"))</f>
        <v>1</v>
      </c>
      <c r="DI3" s="13" t="b">
        <f>AND(NOT(ISNUMBER(MATCH(DATE($A$2,INT((COLUMN()-1)/31.001)+$A$1,ROUNDUP(MOD(COLUMN()-1,31.001),0)),HolidayList[Date],0))),(VLOOKUP(VLOOKUP(WEEKDAY(DATE($A$2,INT((COLUMN()-1)/31.001)+$A$1,ROUNDUP(MOD(COLUMN()-1,31.001),0)),2),Sheet3!$D$1:$E$7,2,0),$NW$21:$NX$35,2,0)="Yes"))</f>
        <v>0</v>
      </c>
      <c r="DJ3" s="13" t="b">
        <f>AND(NOT(ISNUMBER(MATCH(DATE($A$2,INT((COLUMN()-1)/31.001)+$A$1,ROUNDUP(MOD(COLUMN()-1,31.001),0)),HolidayList[Date],0))),(VLOOKUP(VLOOKUP(WEEKDAY(DATE($A$2,INT((COLUMN()-1)/31.001)+$A$1,ROUNDUP(MOD(COLUMN()-1,31.001),0)),2),Sheet3!$D$1:$E$7,2,0),$NW$21:$NX$35,2,0)="Yes"))</f>
        <v>0</v>
      </c>
      <c r="DK3" s="13" t="b">
        <f>AND(NOT(ISNUMBER(MATCH(DATE($A$2,INT((COLUMN()-1)/31.001)+$A$1,ROUNDUP(MOD(COLUMN()-1,31.001),0)),HolidayList[Date],0))),(VLOOKUP(VLOOKUP(WEEKDAY(DATE($A$2,INT((COLUMN()-1)/31.001)+$A$1,ROUNDUP(MOD(COLUMN()-1,31.001),0)),2),Sheet3!$D$1:$E$7,2,0),$NW$21:$NX$35,2,0)="Yes"))</f>
        <v>1</v>
      </c>
      <c r="DL3" s="13" t="b">
        <f>AND(NOT(ISNUMBER(MATCH(DATE($A$2,INT((COLUMN()-1)/31.001)+$A$1,ROUNDUP(MOD(COLUMN()-1,31.001),0)),HolidayList[Date],0))),(VLOOKUP(VLOOKUP(WEEKDAY(DATE($A$2,INT((COLUMN()-1)/31.001)+$A$1,ROUNDUP(MOD(COLUMN()-1,31.001),0)),2),Sheet3!$D$1:$E$7,2,0),$NW$21:$NX$35,2,0)="Yes"))</f>
        <v>1</v>
      </c>
      <c r="DM3" s="13" t="b">
        <f>AND(NOT(ISNUMBER(MATCH(DATE($A$2,INT((COLUMN()-1)/31.001)+$A$1,ROUNDUP(MOD(COLUMN()-1,31.001),0)),HolidayList[Date],0))),(VLOOKUP(VLOOKUP(WEEKDAY(DATE($A$2,INT((COLUMN()-1)/31.001)+$A$1,ROUNDUP(MOD(COLUMN()-1,31.001),0)),2),Sheet3!$D$1:$E$7,2,0),$NW$21:$NX$35,2,0)="Yes"))</f>
        <v>1</v>
      </c>
      <c r="DN3" s="13" t="b">
        <f>AND(NOT(ISNUMBER(MATCH(DATE($A$2,INT((COLUMN()-1)/31.001)+$A$1,ROUNDUP(MOD(COLUMN()-1,31.001),0)),HolidayList[Date],0))),(VLOOKUP(VLOOKUP(WEEKDAY(DATE($A$2,INT((COLUMN()-1)/31.001)+$A$1,ROUNDUP(MOD(COLUMN()-1,31.001),0)),2),Sheet3!$D$1:$E$7,2,0),$NW$21:$NX$35,2,0)="Yes"))</f>
        <v>1</v>
      </c>
      <c r="DO3" s="13" t="b">
        <f>AND(NOT(ISNUMBER(MATCH(DATE($A$2,INT((COLUMN()-1)/31.001)+$A$1,ROUNDUP(MOD(COLUMN()-1,31.001),0)),HolidayList[Date],0))),(VLOOKUP(VLOOKUP(WEEKDAY(DATE($A$2,INT((COLUMN()-1)/31.001)+$A$1,ROUNDUP(MOD(COLUMN()-1,31.001),0)),2),Sheet3!$D$1:$E$7,2,0),$NW$21:$NX$35,2,0)="Yes"))</f>
        <v>1</v>
      </c>
      <c r="DP3" s="13" t="b">
        <f>AND(NOT(ISNUMBER(MATCH(DATE($A$2,INT((COLUMN()-1)/31.001)+$A$1,ROUNDUP(MOD(COLUMN()-1,31.001),0)),HolidayList[Date],0))),(VLOOKUP(VLOOKUP(WEEKDAY(DATE($A$2,INT((COLUMN()-1)/31.001)+$A$1,ROUNDUP(MOD(COLUMN()-1,31.001),0)),2),Sheet3!$D$1:$E$7,2,0),$NW$21:$NX$35,2,0)="Yes"))</f>
        <v>0</v>
      </c>
      <c r="DQ3" s="13" t="b">
        <f>AND(NOT(ISNUMBER(MATCH(DATE($A$2,INT((COLUMN()-1)/31.001)+$A$1,ROUNDUP(MOD(COLUMN()-1,31.001),0)),HolidayList[Date],0))),(VLOOKUP(VLOOKUP(WEEKDAY(DATE($A$2,INT((COLUMN()-1)/31.001)+$A$1,ROUNDUP(MOD(COLUMN()-1,31.001),0)),2),Sheet3!$D$1:$E$7,2,0),$NW$21:$NX$35,2,0)="Yes"))</f>
        <v>0</v>
      </c>
      <c r="DR3" s="13" t="b">
        <f>AND(NOT(ISNUMBER(MATCH(DATE($A$2,INT((COLUMN()-1)/31.001)+$A$1,ROUNDUP(MOD(COLUMN()-1,31.001),0)),HolidayList[Date],0))),(VLOOKUP(VLOOKUP(WEEKDAY(DATE($A$2,INT((COLUMN()-1)/31.001)+$A$1,ROUNDUP(MOD(COLUMN()-1,31.001),0)),2),Sheet3!$D$1:$E$7,2,0),$NW$21:$NX$35,2,0)="Yes"))</f>
        <v>1</v>
      </c>
      <c r="DS3" s="13" t="b">
        <f>AND(NOT(ISNUMBER(MATCH(DATE($A$2,INT((COLUMN()-1)/31.001)+$A$1,ROUNDUP(MOD(COLUMN()-1,31.001),0)),HolidayList[Date],0))),(VLOOKUP(VLOOKUP(WEEKDAY(DATE($A$2,INT((COLUMN()-1)/31.001)+$A$1,ROUNDUP(MOD(COLUMN()-1,31.001),0)),2),Sheet3!$D$1:$E$7,2,0),$NW$21:$NX$35,2,0)="Yes"))</f>
        <v>1</v>
      </c>
      <c r="DT3" s="13" t="b">
        <f>AND(NOT(ISNUMBER(MATCH(DATE($A$2,INT((COLUMN()-1)/31.001)+$A$1,ROUNDUP(MOD(COLUMN()-1,31.001),0)),HolidayList[Date],0))),(VLOOKUP(VLOOKUP(WEEKDAY(DATE($A$2,INT((COLUMN()-1)/31.001)+$A$1,ROUNDUP(MOD(COLUMN()-1,31.001),0)),2),Sheet3!$D$1:$E$7,2,0),$NW$21:$NX$35,2,0)="Yes"))</f>
        <v>1</v>
      </c>
      <c r="DU3" s="13" t="b">
        <f>AND(NOT(ISNUMBER(MATCH(DATE($A$2,INT((COLUMN()-1)/31.001)+$A$1,ROUNDUP(MOD(COLUMN()-1,31.001),0)),HolidayList[Date],0))),(VLOOKUP(VLOOKUP(WEEKDAY(DATE($A$2,INT((COLUMN()-1)/31.001)+$A$1,ROUNDUP(MOD(COLUMN()-1,31.001),0)),2),Sheet3!$D$1:$E$7,2,0),$NW$21:$NX$35,2,0)="Yes"))</f>
        <v>1</v>
      </c>
      <c r="DV3" s="13" t="b">
        <f>AND(NOT(ISNUMBER(MATCH(DATE($A$2,INT((COLUMN()-1)/31.001)+$A$1,ROUNDUP(MOD(COLUMN()-1,31.001),0)),HolidayList[Date],0))),(VLOOKUP(VLOOKUP(WEEKDAY(DATE($A$2,INT((COLUMN()-1)/31.001)+$A$1,ROUNDUP(MOD(COLUMN()-1,31.001),0)),2),Sheet3!$D$1:$E$7,2,0),$NW$21:$NX$35,2,0)="Yes"))</f>
        <v>1</v>
      </c>
      <c r="DW3" s="13" t="b">
        <f>AND(NOT(ISNUMBER(MATCH(DATE($A$2,INT((COLUMN()-1)/31.001)+$A$1,ROUNDUP(MOD(COLUMN()-1,31.001),0)),HolidayList[Date],0))),(VLOOKUP(VLOOKUP(WEEKDAY(DATE($A$2,INT((COLUMN()-1)/31.001)+$A$1,ROUNDUP(MOD(COLUMN()-1,31.001),0)),2),Sheet3!$D$1:$E$7,2,0),$NW$21:$NX$35,2,0)="Yes"))</f>
        <v>1</v>
      </c>
      <c r="DX3" s="13" t="b">
        <f>AND(NOT(ISNUMBER(MATCH(DATE($A$2,INT((COLUMN()-1)/31.001)+$A$1,ROUNDUP(MOD(COLUMN()-1,31.001),0)),HolidayList[Date],0))),(VLOOKUP(VLOOKUP(WEEKDAY(DATE($A$2,INT((COLUMN()-1)/31.001)+$A$1,ROUNDUP(MOD(COLUMN()-1,31.001),0)),2),Sheet3!$D$1:$E$7,2,0),$NW$21:$NX$35,2,0)="Yes"))</f>
        <v>0</v>
      </c>
      <c r="DY3" s="13" t="b">
        <f>AND(NOT(ISNUMBER(MATCH(DATE($A$2,INT((COLUMN()-1)/31.001)+$A$1,ROUNDUP(MOD(COLUMN()-1,31.001),0)),HolidayList[Date],0))),(VLOOKUP(VLOOKUP(WEEKDAY(DATE($A$2,INT((COLUMN()-1)/31.001)+$A$1,ROUNDUP(MOD(COLUMN()-1,31.001),0)),2),Sheet3!$D$1:$E$7,2,0),$NW$21:$NX$35,2,0)="Yes"))</f>
        <v>0</v>
      </c>
      <c r="DZ3" s="13" t="b">
        <f>AND(NOT(ISNUMBER(MATCH(DATE($A$2,INT((COLUMN()-1)/31.001)+$A$1,ROUNDUP(MOD(COLUMN()-1,31.001),0)),HolidayList[Date],0))),(VLOOKUP(VLOOKUP(WEEKDAY(DATE($A$2,INT((COLUMN()-1)/31.001)+$A$1,ROUNDUP(MOD(COLUMN()-1,31.001),0)),2),Sheet3!$D$1:$E$7,2,0),$NW$21:$NX$35,2,0)="Yes"))</f>
        <v>1</v>
      </c>
      <c r="EA3" s="13" t="b">
        <f>AND(NOT(ISNUMBER(MATCH(DATE($A$2,INT((COLUMN()-1)/31.001)+$A$1,ROUNDUP(MOD(COLUMN()-1,31.001),0)),HolidayList[Date],0))),(VLOOKUP(VLOOKUP(WEEKDAY(DATE($A$2,INT((COLUMN()-1)/31.001)+$A$1,ROUNDUP(MOD(COLUMN()-1,31.001),0)),2),Sheet3!$D$1:$E$7,2,0),$NW$21:$NX$35,2,0)="Yes"))</f>
        <v>1</v>
      </c>
      <c r="EB3" s="13" t="b">
        <f>AND(NOT(ISNUMBER(MATCH(DATE($A$2,INT((COLUMN()-1)/31.001)+$A$1,ROUNDUP(MOD(COLUMN()-1,31.001),0)),HolidayList[Date],0))),(VLOOKUP(VLOOKUP(WEEKDAY(DATE($A$2,INT((COLUMN()-1)/31.001)+$A$1,ROUNDUP(MOD(COLUMN()-1,31.001),0)),2),Sheet3!$D$1:$E$7,2,0),$NW$21:$NX$35,2,0)="Yes"))</f>
        <v>1</v>
      </c>
      <c r="EC3" s="13" t="b">
        <f>AND(NOT(ISNUMBER(MATCH(DATE($A$2,INT((COLUMN()-1)/31.001)+$A$1,ROUNDUP(MOD(COLUMN()-1,31.001),0)),HolidayList[Date],0))),(VLOOKUP(VLOOKUP(WEEKDAY(DATE($A$2,INT((COLUMN()-1)/31.001)+$A$1,ROUNDUP(MOD(COLUMN()-1,31.001),0)),2),Sheet3!$D$1:$E$7,2,0),$NW$21:$NX$35,2,0)="Yes"))</f>
        <v>1</v>
      </c>
      <c r="ED3" s="13" t="b">
        <f>AND(NOT(ISNUMBER(MATCH(DATE($A$2,INT((COLUMN()-1)/31.001)+$A$1,ROUNDUP(MOD(COLUMN()-1,31.001),0)),HolidayList[Date],0))),(VLOOKUP(VLOOKUP(WEEKDAY(DATE($A$2,INT((COLUMN()-1)/31.001)+$A$1,ROUNDUP(MOD(COLUMN()-1,31.001),0)),2),Sheet3!$D$1:$E$7,2,0),$NW$21:$NX$35,2,0)="Yes"))</f>
        <v>1</v>
      </c>
      <c r="EE3" s="13" t="b">
        <f>AND(NOT(ISNUMBER(MATCH(DATE($A$2,INT((COLUMN()-1)/31.001)+$A$1,ROUNDUP(MOD(COLUMN()-1,31.001),0)),HolidayList[Date],0))),(VLOOKUP(VLOOKUP(WEEKDAY(DATE($A$2,INT((COLUMN()-1)/31.001)+$A$1,ROUNDUP(MOD(COLUMN()-1,31.001),0)),2),Sheet3!$D$1:$E$7,2,0),$NW$21:$NX$35,2,0)="Yes"))</f>
        <v>0</v>
      </c>
      <c r="EF3" s="13" t="b">
        <f>AND(NOT(ISNUMBER(MATCH(DATE($A$2,INT((COLUMN()-1)/31.001)+$A$1,ROUNDUP(MOD(COLUMN()-1,31.001),0)),HolidayList[Date],0))),(VLOOKUP(VLOOKUP(WEEKDAY(DATE($A$2,INT((COLUMN()-1)/31.001)+$A$1,ROUNDUP(MOD(COLUMN()-1,31.001),0)),2),Sheet3!$D$1:$E$7,2,0),$NW$21:$NX$35,2,0)="Yes"))</f>
        <v>0</v>
      </c>
      <c r="EG3" s="13" t="b">
        <f>AND(NOT(ISNUMBER(MATCH(DATE($A$2,INT((COLUMN()-1)/31.001)+$A$1,ROUNDUP(MOD(COLUMN()-1,31.001),0)),HolidayList[Date],0))),(VLOOKUP(VLOOKUP(WEEKDAY(DATE($A$2,INT((COLUMN()-1)/31.001)+$A$1,ROUNDUP(MOD(COLUMN()-1,31.001),0)),2),Sheet3!$D$1:$E$7,2,0),$NW$21:$NX$35,2,0)="Yes"))</f>
        <v>1</v>
      </c>
      <c r="EH3" s="13" t="b">
        <f>AND(NOT(ISNUMBER(MATCH(DATE($A$2,INT((COLUMN()-1)/31.001)+$A$1,ROUNDUP(MOD(COLUMN()-1,31.001),0)),HolidayList[Date],0))),(VLOOKUP(VLOOKUP(WEEKDAY(DATE($A$2,INT((COLUMN()-1)/31.001)+$A$1,ROUNDUP(MOD(COLUMN()-1,31.001),0)),2),Sheet3!$D$1:$E$7,2,0),$NW$21:$NX$35,2,0)="Yes"))</f>
        <v>1</v>
      </c>
      <c r="EI3" s="13" t="b">
        <f>AND(NOT(ISNUMBER(MATCH(DATE($A$2,INT((COLUMN()-1)/31.001)+$A$1,ROUNDUP(MOD(COLUMN()-1,31.001),0)),HolidayList[Date],0))),(VLOOKUP(VLOOKUP(WEEKDAY(DATE($A$2,INT((COLUMN()-1)/31.001)+$A$1,ROUNDUP(MOD(COLUMN()-1,31.001),0)),2),Sheet3!$D$1:$E$7,2,0),$NW$21:$NX$35,2,0)="Yes"))</f>
        <v>1</v>
      </c>
      <c r="EJ3" s="13" t="b">
        <f>AND(NOT(ISNUMBER(MATCH(DATE($A$2,INT((COLUMN()-1)/31.001)+$A$1,ROUNDUP(MOD(COLUMN()-1,31.001),0)),HolidayList[Date],0))),(VLOOKUP(VLOOKUP(WEEKDAY(DATE($A$2,INT((COLUMN()-1)/31.001)+$A$1,ROUNDUP(MOD(COLUMN()-1,31.001),0)),2),Sheet3!$D$1:$E$7,2,0),$NW$21:$NX$35,2,0)="Yes"))</f>
        <v>1</v>
      </c>
      <c r="EK3" s="13" t="b">
        <f>AND(NOT(ISNUMBER(MATCH(DATE($A$2,INT((COLUMN()-1)/31.001)+$A$1,ROUNDUP(MOD(COLUMN()-1,31.001),0)),HolidayList[Date],0))),(VLOOKUP(VLOOKUP(WEEKDAY(DATE($A$2,INT((COLUMN()-1)/31.001)+$A$1,ROUNDUP(MOD(COLUMN()-1,31.001),0)),2),Sheet3!$D$1:$E$7,2,0),$NW$21:$NX$35,2,0)="Yes"))</f>
        <v>1</v>
      </c>
      <c r="EL3" s="13" t="b">
        <f>AND(NOT(ISNUMBER(MATCH(DATE($A$2,INT((COLUMN()-1)/31.001)+$A$1,ROUNDUP(MOD(COLUMN()-1,31.001),0)),HolidayList[Date],0))),(VLOOKUP(VLOOKUP(WEEKDAY(DATE($A$2,INT((COLUMN()-1)/31.001)+$A$1,ROUNDUP(MOD(COLUMN()-1,31.001),0)),2),Sheet3!$D$1:$E$7,2,0),$NW$21:$NX$35,2,0)="Yes"))</f>
        <v>0</v>
      </c>
      <c r="EM3" s="13" t="b">
        <f>AND(NOT(ISNUMBER(MATCH(DATE($A$2,INT((COLUMN()-1)/31.001)+$A$1,ROUNDUP(MOD(COLUMN()-1,31.001),0)),HolidayList[Date],0))),(VLOOKUP(VLOOKUP(WEEKDAY(DATE($A$2,INT((COLUMN()-1)/31.001)+$A$1,ROUNDUP(MOD(COLUMN()-1,31.001),0)),2),Sheet3!$D$1:$E$7,2,0),$NW$21:$NX$35,2,0)="Yes"))</f>
        <v>0</v>
      </c>
      <c r="EN3" s="13" t="b">
        <f>AND(NOT(ISNUMBER(MATCH(DATE($A$2,INT((COLUMN()-1)/31.001)+$A$1,ROUNDUP(MOD(COLUMN()-1,31.001),0)),HolidayList[Date],0))),(VLOOKUP(VLOOKUP(WEEKDAY(DATE($A$2,INT((COLUMN()-1)/31.001)+$A$1,ROUNDUP(MOD(COLUMN()-1,31.001),0)),2),Sheet3!$D$1:$E$7,2,0),$NW$21:$NX$35,2,0)="Yes"))</f>
        <v>1</v>
      </c>
      <c r="EO3" s="13" t="b">
        <f>AND(NOT(ISNUMBER(MATCH(DATE($A$2,INT((COLUMN()-1)/31.001)+$A$1,ROUNDUP(MOD(COLUMN()-1,31.001),0)),HolidayList[Date],0))),(VLOOKUP(VLOOKUP(WEEKDAY(DATE($A$2,INT((COLUMN()-1)/31.001)+$A$1,ROUNDUP(MOD(COLUMN()-1,31.001),0)),2),Sheet3!$D$1:$E$7,2,0),$NW$21:$NX$35,2,0)="Yes"))</f>
        <v>1</v>
      </c>
      <c r="EP3" s="13" t="b">
        <f>AND(NOT(ISNUMBER(MATCH(DATE($A$2,INT((COLUMN()-1)/31.001)+$A$1,ROUNDUP(MOD(COLUMN()-1,31.001),0)),HolidayList[Date],0))),(VLOOKUP(VLOOKUP(WEEKDAY(DATE($A$2,INT((COLUMN()-1)/31.001)+$A$1,ROUNDUP(MOD(COLUMN()-1,31.001),0)),2),Sheet3!$D$1:$E$7,2,0),$NW$21:$NX$35,2,0)="Yes"))</f>
        <v>1</v>
      </c>
      <c r="EQ3" s="13" t="b">
        <f>AND(NOT(ISNUMBER(MATCH(DATE($A$2,INT((COLUMN()-1)/31.001)+$A$1,ROUNDUP(MOD(COLUMN()-1,31.001),0)),HolidayList[Date],0))),(VLOOKUP(VLOOKUP(WEEKDAY(DATE($A$2,INT((COLUMN()-1)/31.001)+$A$1,ROUNDUP(MOD(COLUMN()-1,31.001),0)),2),Sheet3!$D$1:$E$7,2,0),$NW$21:$NX$35,2,0)="Yes"))</f>
        <v>1</v>
      </c>
      <c r="ER3" s="13" t="b">
        <f>AND(NOT(ISNUMBER(MATCH(DATE($A$2,INT((COLUMN()-1)/31.001)+$A$1,ROUNDUP(MOD(COLUMN()-1,31.001),0)),HolidayList[Date],0))),(VLOOKUP(VLOOKUP(WEEKDAY(DATE($A$2,INT((COLUMN()-1)/31.001)+$A$1,ROUNDUP(MOD(COLUMN()-1,31.001),0)),2),Sheet3!$D$1:$E$7,2,0),$NW$21:$NX$35,2,0)="Yes"))</f>
        <v>1</v>
      </c>
      <c r="ES3" s="13" t="b">
        <f>AND(NOT(ISNUMBER(MATCH(DATE($A$2,INT((COLUMN()-1)/31.001)+$A$1,ROUNDUP(MOD(COLUMN()-1,31.001),0)),HolidayList[Date],0))),(VLOOKUP(VLOOKUP(WEEKDAY(DATE($A$2,INT((COLUMN()-1)/31.001)+$A$1,ROUNDUP(MOD(COLUMN()-1,31.001),0)),2),Sheet3!$D$1:$E$7,2,0),$NW$21:$NX$35,2,0)="Yes"))</f>
        <v>0</v>
      </c>
      <c r="ET3" s="13" t="b">
        <f>AND(NOT(ISNUMBER(MATCH(DATE($A$2,INT((COLUMN()-1)/31.001)+$A$1,ROUNDUP(MOD(COLUMN()-1,31.001),0)),HolidayList[Date],0))),(VLOOKUP(VLOOKUP(WEEKDAY(DATE($A$2,INT((COLUMN()-1)/31.001)+$A$1,ROUNDUP(MOD(COLUMN()-1,31.001),0)),2),Sheet3!$D$1:$E$7,2,0),$NW$21:$NX$35,2,0)="Yes"))</f>
        <v>0</v>
      </c>
      <c r="EU3" s="13" t="b">
        <f>AND(NOT(ISNUMBER(MATCH(DATE($A$2,INT((COLUMN()-1)/31.001)+$A$1,ROUNDUP(MOD(COLUMN()-1,31.001),0)),HolidayList[Date],0))),(VLOOKUP(VLOOKUP(WEEKDAY(DATE($A$2,INT((COLUMN()-1)/31.001)+$A$1,ROUNDUP(MOD(COLUMN()-1,31.001),0)),2),Sheet3!$D$1:$E$7,2,0),$NW$21:$NX$35,2,0)="Yes"))</f>
        <v>1</v>
      </c>
      <c r="EV3" s="13" t="b">
        <f>AND(NOT(ISNUMBER(MATCH(DATE($A$2,INT((COLUMN()-1)/31.001)+$A$1,ROUNDUP(MOD(COLUMN()-1,31.001),0)),HolidayList[Date],0))),(VLOOKUP(VLOOKUP(WEEKDAY(DATE($A$2,INT((COLUMN()-1)/31.001)+$A$1,ROUNDUP(MOD(COLUMN()-1,31.001),0)),2),Sheet3!$D$1:$E$7,2,0),$NW$21:$NX$35,2,0)="Yes"))</f>
        <v>1</v>
      </c>
      <c r="EW3" s="13" t="b">
        <f>AND(NOT(ISNUMBER(MATCH(DATE($A$2,INT((COLUMN()-1)/31.001)+$A$1,ROUNDUP(MOD(COLUMN()-1,31.001),0)),HolidayList[Date],0))),(VLOOKUP(VLOOKUP(WEEKDAY(DATE($A$2,INT((COLUMN()-1)/31.001)+$A$1,ROUNDUP(MOD(COLUMN()-1,31.001),0)),2),Sheet3!$D$1:$E$7,2,0),$NW$21:$NX$35,2,0)="Yes"))</f>
        <v>1</v>
      </c>
      <c r="EX3" s="13" t="b">
        <f>AND(NOT(ISNUMBER(MATCH(DATE($A$2,INT((COLUMN()-1)/31.001)+$A$1,ROUNDUP(MOD(COLUMN()-1,31.001),0)),HolidayList[Date],0))),(VLOOKUP(VLOOKUP(WEEKDAY(DATE($A$2,INT((COLUMN()-1)/31.001)+$A$1,ROUNDUP(MOD(COLUMN()-1,31.001),0)),2),Sheet3!$D$1:$E$7,2,0),$NW$21:$NX$35,2,0)="Yes"))</f>
        <v>1</v>
      </c>
      <c r="EY3" s="13" t="b">
        <f>AND(NOT(ISNUMBER(MATCH(DATE($A$2,INT((COLUMN()-1)/31.001)+$A$1,ROUNDUP(MOD(COLUMN()-1,31.001),0)),HolidayList[Date],0))),(VLOOKUP(VLOOKUP(WEEKDAY(DATE($A$2,INT((COLUMN()-1)/31.001)+$A$1,ROUNDUP(MOD(COLUMN()-1,31.001),0)),2),Sheet3!$D$1:$E$7,2,0),$NW$21:$NX$35,2,0)="Yes"))</f>
        <v>1</v>
      </c>
      <c r="EZ3" s="13" t="b">
        <f>AND(NOT(ISNUMBER(MATCH(DATE($A$2,INT((COLUMN()-1)/31.001)+$A$1,ROUNDUP(MOD(COLUMN()-1,31.001),0)),HolidayList[Date],0))),(VLOOKUP(VLOOKUP(WEEKDAY(DATE($A$2,INT((COLUMN()-1)/31.001)+$A$1,ROUNDUP(MOD(COLUMN()-1,31.001),0)),2),Sheet3!$D$1:$E$7,2,0),$NW$21:$NX$35,2,0)="Yes"))</f>
        <v>0</v>
      </c>
      <c r="FA3" s="13" t="b">
        <f>AND(NOT(ISNUMBER(MATCH(DATE($A$2,INT((COLUMN()-1)/31.001)+$A$1,ROUNDUP(MOD(COLUMN()-1,31.001),0)),HolidayList[Date],0))),(VLOOKUP(VLOOKUP(WEEKDAY(DATE($A$2,INT((COLUMN()-1)/31.001)+$A$1,ROUNDUP(MOD(COLUMN()-1,31.001),0)),2),Sheet3!$D$1:$E$7,2,0),$NW$21:$NX$35,2,0)="Yes"))</f>
        <v>0</v>
      </c>
      <c r="FB3" s="13" t="b">
        <f>AND(NOT(ISNUMBER(MATCH(DATE($A$2,INT((COLUMN()-1)/31.001)+$A$1,ROUNDUP(MOD(COLUMN()-1,31.001),0)),HolidayList[Date],0))),(VLOOKUP(VLOOKUP(WEEKDAY(DATE($A$2,INT((COLUMN()-1)/31.001)+$A$1,ROUNDUP(MOD(COLUMN()-1,31.001),0)),2),Sheet3!$D$1:$E$7,2,0),$NW$21:$NX$35,2,0)="Yes"))</f>
        <v>1</v>
      </c>
      <c r="FC3" s="13" t="b">
        <f>AND(NOT(ISNUMBER(MATCH(DATE($A$2,INT((COLUMN()-1)/31.001)+$A$1,ROUNDUP(MOD(COLUMN()-1,31.001),0)),HolidayList[Date],0))),(VLOOKUP(VLOOKUP(WEEKDAY(DATE($A$2,INT((COLUMN()-1)/31.001)+$A$1,ROUNDUP(MOD(COLUMN()-1,31.001),0)),2),Sheet3!$D$1:$E$7,2,0),$NW$21:$NX$35,2,0)="Yes"))</f>
        <v>1</v>
      </c>
      <c r="FD3" s="13" t="b">
        <f>AND(NOT(ISNUMBER(MATCH(DATE($A$2,INT((COLUMN()-1)/31.001)+$A$1,ROUNDUP(MOD(COLUMN()-1,31.001),0)),HolidayList[Date],0))),(VLOOKUP(VLOOKUP(WEEKDAY(DATE($A$2,INT((COLUMN()-1)/31.001)+$A$1,ROUNDUP(MOD(COLUMN()-1,31.001),0)),2),Sheet3!$D$1:$E$7,2,0),$NW$21:$NX$35,2,0)="Yes"))</f>
        <v>1</v>
      </c>
      <c r="FE3" s="13" t="b">
        <f>AND(NOT(ISNUMBER(MATCH(DATE($A$2,INT((COLUMN()-1)/31.001)+$A$1,ROUNDUP(MOD(COLUMN()-1,31.001),0)),HolidayList[Date],0))),(VLOOKUP(VLOOKUP(WEEKDAY(DATE($A$2,INT((COLUMN()-1)/31.001)+$A$1,ROUNDUP(MOD(COLUMN()-1,31.001),0)),2),Sheet3!$D$1:$E$7,2,0),$NW$21:$NX$35,2,0)="Yes"))</f>
        <v>1</v>
      </c>
      <c r="FF3" s="13" t="b">
        <f>AND(NOT(ISNUMBER(MATCH(DATE($A$2,INT((COLUMN()-1)/31.001)+$A$1,ROUNDUP(MOD(COLUMN()-1,31.001),0)),HolidayList[Date],0))),(VLOOKUP(VLOOKUP(WEEKDAY(DATE($A$2,INT((COLUMN()-1)/31.001)+$A$1,ROUNDUP(MOD(COLUMN()-1,31.001),0)),2),Sheet3!$D$1:$E$7,2,0),$NW$21:$NX$35,2,0)="Yes"))</f>
        <v>1</v>
      </c>
      <c r="FG3" s="13" t="b">
        <f>AND(NOT(ISNUMBER(MATCH(DATE($A$2,INT((COLUMN()-1)/31.001)+$A$1,ROUNDUP(MOD(COLUMN()-1,31.001),0)),HolidayList[Date],0))),(VLOOKUP(VLOOKUP(WEEKDAY(DATE($A$2,INT((COLUMN()-1)/31.001)+$A$1,ROUNDUP(MOD(COLUMN()-1,31.001),0)),2),Sheet3!$D$1:$E$7,2,0),$NW$21:$NX$35,2,0)="Yes"))</f>
        <v>0</v>
      </c>
      <c r="FH3" s="13" t="b">
        <f>AND(NOT(ISNUMBER(MATCH(DATE($A$2,INT((COLUMN()-1)/31.001)+$A$1,ROUNDUP(MOD(COLUMN()-1,31.001),0)),HolidayList[Date],0))),(VLOOKUP(VLOOKUP(WEEKDAY(DATE($A$2,INT((COLUMN()-1)/31.001)+$A$1,ROUNDUP(MOD(COLUMN()-1,31.001),0)),2),Sheet3!$D$1:$E$7,2,0),$NW$21:$NX$35,2,0)="Yes"))</f>
        <v>0</v>
      </c>
      <c r="FI3" s="13" t="b">
        <f>AND(NOT(ISNUMBER(MATCH(DATE($A$2,INT((COLUMN()-1)/31.001)+$A$1,ROUNDUP(MOD(COLUMN()-1,31.001),0)),HolidayList[Date],0))),(VLOOKUP(VLOOKUP(WEEKDAY(DATE($A$2,INT((COLUMN()-1)/31.001)+$A$1,ROUNDUP(MOD(COLUMN()-1,31.001),0)),2),Sheet3!$D$1:$E$7,2,0),$NW$21:$NX$35,2,0)="Yes"))</f>
        <v>1</v>
      </c>
      <c r="FJ3" s="13" t="b">
        <f>AND(NOT(ISNUMBER(MATCH(DATE($A$2,INT((COLUMN()-1)/31.001)+$A$1,ROUNDUP(MOD(COLUMN()-1,31.001),0)),HolidayList[Date],0))),(VLOOKUP(VLOOKUP(WEEKDAY(DATE($A$2,INT((COLUMN()-1)/31.001)+$A$1,ROUNDUP(MOD(COLUMN()-1,31.001),0)),2),Sheet3!$D$1:$E$7,2,0),$NW$21:$NX$35,2,0)="Yes"))</f>
        <v>1</v>
      </c>
      <c r="FK3" s="13" t="b">
        <f>AND(NOT(ISNUMBER(MATCH(DATE($A$2,INT((COLUMN()-1)/31.001)+$A$1,ROUNDUP(MOD(COLUMN()-1,31.001),0)),HolidayList[Date],0))),(VLOOKUP(VLOOKUP(WEEKDAY(DATE($A$2,INT((COLUMN()-1)/31.001)+$A$1,ROUNDUP(MOD(COLUMN()-1,31.001),0)),2),Sheet3!$D$1:$E$7,2,0),$NW$21:$NX$35,2,0)="Yes"))</f>
        <v>1</v>
      </c>
      <c r="FL3" s="13" t="b">
        <f>AND(NOT(ISNUMBER(MATCH(DATE($A$2,INT((COLUMN()-1)/31.001)+$A$1,ROUNDUP(MOD(COLUMN()-1,31.001),0)),HolidayList[Date],0))),(VLOOKUP(VLOOKUP(WEEKDAY(DATE($A$2,INT((COLUMN()-1)/31.001)+$A$1,ROUNDUP(MOD(COLUMN()-1,31.001),0)),2),Sheet3!$D$1:$E$7,2,0),$NW$21:$NX$35,2,0)="Yes"))</f>
        <v>1</v>
      </c>
      <c r="FM3" s="13" t="b">
        <f>AND(NOT(ISNUMBER(MATCH(DATE($A$2,INT((COLUMN()-1)/31.001)+$A$1,ROUNDUP(MOD(COLUMN()-1,31.001),0)),HolidayList[Date],0))),(VLOOKUP(VLOOKUP(WEEKDAY(DATE($A$2,INT((COLUMN()-1)/31.001)+$A$1,ROUNDUP(MOD(COLUMN()-1,31.001),0)),2),Sheet3!$D$1:$E$7,2,0),$NW$21:$NX$35,2,0)="Yes"))</f>
        <v>1</v>
      </c>
      <c r="FN3" s="13" t="b">
        <f>AND(NOT(ISNUMBER(MATCH(DATE($A$2,INT((COLUMN()-1)/31.001)+$A$1,ROUNDUP(MOD(COLUMN()-1,31.001),0)),HolidayList[Date],0))),(VLOOKUP(VLOOKUP(WEEKDAY(DATE($A$2,INT((COLUMN()-1)/31.001)+$A$1,ROUNDUP(MOD(COLUMN()-1,31.001),0)),2),Sheet3!$D$1:$E$7,2,0),$NW$21:$NX$35,2,0)="Yes"))</f>
        <v>0</v>
      </c>
      <c r="FO3" s="13" t="b">
        <f>AND(NOT(ISNUMBER(MATCH(DATE($A$2,INT((COLUMN()-1)/31.001)+$A$1,ROUNDUP(MOD(COLUMN()-1,31.001),0)),HolidayList[Date],0))),(VLOOKUP(VLOOKUP(WEEKDAY(DATE($A$2,INT((COLUMN()-1)/31.001)+$A$1,ROUNDUP(MOD(COLUMN()-1,31.001),0)),2),Sheet3!$D$1:$E$7,2,0),$NW$21:$NX$35,2,0)="Yes"))</f>
        <v>0</v>
      </c>
      <c r="FP3" s="13" t="b">
        <f>AND(NOT(ISNUMBER(MATCH(DATE($A$2,INT((COLUMN()-1)/31.001)+$A$1,ROUNDUP(MOD(COLUMN()-1,31.001),0)),HolidayList[Date],0))),(VLOOKUP(VLOOKUP(WEEKDAY(DATE($A$2,INT((COLUMN()-1)/31.001)+$A$1,ROUNDUP(MOD(COLUMN()-1,31.001),0)),2),Sheet3!$D$1:$E$7,2,0),$NW$21:$NX$35,2,0)="Yes"))</f>
        <v>1</v>
      </c>
      <c r="FQ3" s="13" t="b">
        <f>AND(NOT(ISNUMBER(MATCH(DATE($A$2,INT((COLUMN()-1)/31.001)+$A$1,ROUNDUP(MOD(COLUMN()-1,31.001),0)),HolidayList[Date],0))),(VLOOKUP(VLOOKUP(WEEKDAY(DATE($A$2,INT((COLUMN()-1)/31.001)+$A$1,ROUNDUP(MOD(COLUMN()-1,31.001),0)),2),Sheet3!$D$1:$E$7,2,0),$NW$21:$NX$35,2,0)="Yes"))</f>
        <v>1</v>
      </c>
      <c r="FR3" s="13" t="b">
        <f>AND(NOT(ISNUMBER(MATCH(DATE($A$2,INT((COLUMN()-1)/31.001)+$A$1,ROUNDUP(MOD(COLUMN()-1,31.001),0)),HolidayList[Date],0))),(VLOOKUP(VLOOKUP(WEEKDAY(DATE($A$2,INT((COLUMN()-1)/31.001)+$A$1,ROUNDUP(MOD(COLUMN()-1,31.001),0)),2),Sheet3!$D$1:$E$7,2,0),$NW$21:$NX$35,2,0)="Yes"))</f>
        <v>1</v>
      </c>
      <c r="FS3" s="13" t="b">
        <f>AND(NOT(ISNUMBER(MATCH(DATE($A$2,INT((COLUMN()-1)/31.001)+$A$1,ROUNDUP(MOD(COLUMN()-1,31.001),0)),HolidayList[Date],0))),(VLOOKUP(VLOOKUP(WEEKDAY(DATE($A$2,INT((COLUMN()-1)/31.001)+$A$1,ROUNDUP(MOD(COLUMN()-1,31.001),0)),2),Sheet3!$D$1:$E$7,2,0),$NW$21:$NX$35,2,0)="Yes"))</f>
        <v>1</v>
      </c>
      <c r="FT3" s="13" t="b">
        <f>AND(NOT(ISNUMBER(MATCH(DATE($A$2,INT((COLUMN()-1)/31.001)+$A$1,ROUNDUP(MOD(COLUMN()-1,31.001),0)),HolidayList[Date],0))),(VLOOKUP(VLOOKUP(WEEKDAY(DATE($A$2,INT((COLUMN()-1)/31.001)+$A$1,ROUNDUP(MOD(COLUMN()-1,31.001),0)),2),Sheet3!$D$1:$E$7,2,0),$NW$21:$NX$35,2,0)="Yes"))</f>
        <v>1</v>
      </c>
      <c r="FU3" s="13" t="b">
        <f>AND(NOT(ISNUMBER(MATCH(DATE($A$2,INT((COLUMN()-1)/31.001)+$A$1,ROUNDUP(MOD(COLUMN()-1,31.001),0)),HolidayList[Date],0))),(VLOOKUP(VLOOKUP(WEEKDAY(DATE($A$2,INT((COLUMN()-1)/31.001)+$A$1,ROUNDUP(MOD(COLUMN()-1,31.001),0)),2),Sheet3!$D$1:$E$7,2,0),$NW$21:$NX$35,2,0)="Yes"))</f>
        <v>0</v>
      </c>
      <c r="FV3" s="13" t="b">
        <f>AND(NOT(ISNUMBER(MATCH(DATE($A$2,INT((COLUMN()-1)/31.001)+$A$1,ROUNDUP(MOD(COLUMN()-1,31.001),0)),HolidayList[Date],0))),(VLOOKUP(VLOOKUP(WEEKDAY(DATE($A$2,INT((COLUMN()-1)/31.001)+$A$1,ROUNDUP(MOD(COLUMN()-1,31.001),0)),2),Sheet3!$D$1:$E$7,2,0),$NW$21:$NX$35,2,0)="Yes"))</f>
        <v>0</v>
      </c>
      <c r="FW3" s="13" t="b">
        <f>AND(NOT(ISNUMBER(MATCH(DATE($A$2,INT((COLUMN()-1)/31.001)+$A$1,ROUNDUP(MOD(COLUMN()-1,31.001),0)),HolidayList[Date],0))),(VLOOKUP(VLOOKUP(WEEKDAY(DATE($A$2,INT((COLUMN()-1)/31.001)+$A$1,ROUNDUP(MOD(COLUMN()-1,31.001),0)),2),Sheet3!$D$1:$E$7,2,0),$NW$21:$NX$35,2,0)="Yes"))</f>
        <v>1</v>
      </c>
      <c r="FX3" s="13" t="b">
        <f>AND(NOT(ISNUMBER(MATCH(DATE($A$2,INT((COLUMN()-1)/31.001)+$A$1,ROUNDUP(MOD(COLUMN()-1,31.001),0)),HolidayList[Date],0))),(VLOOKUP(VLOOKUP(WEEKDAY(DATE($A$2,INT((COLUMN()-1)/31.001)+$A$1,ROUNDUP(MOD(COLUMN()-1,31.001),0)),2),Sheet3!$D$1:$E$7,2,0),$NW$21:$NX$35,2,0)="Yes"))</f>
        <v>1</v>
      </c>
      <c r="FY3" s="13" t="b">
        <f>AND(NOT(ISNUMBER(MATCH(DATE($A$2,INT((COLUMN()-1)/31.001)+$A$1,ROUNDUP(MOD(COLUMN()-1,31.001),0)),HolidayList[Date],0))),(VLOOKUP(VLOOKUP(WEEKDAY(DATE($A$2,INT((COLUMN()-1)/31.001)+$A$1,ROUNDUP(MOD(COLUMN()-1,31.001),0)),2),Sheet3!$D$1:$E$7,2,0),$NW$21:$NX$35,2,0)="Yes"))</f>
        <v>1</v>
      </c>
      <c r="FZ3" s="13" t="b">
        <f>AND(NOT(ISNUMBER(MATCH(DATE($A$2,INT((COLUMN()-1)/31.001)+$A$1,ROUNDUP(MOD(COLUMN()-1,31.001),0)),HolidayList[Date],0))),(VLOOKUP(VLOOKUP(WEEKDAY(DATE($A$2,INT((COLUMN()-1)/31.001)+$A$1,ROUNDUP(MOD(COLUMN()-1,31.001),0)),2),Sheet3!$D$1:$E$7,2,0),$NW$21:$NX$35,2,0)="Yes"))</f>
        <v>1</v>
      </c>
      <c r="GA3" s="13" t="b">
        <f>AND(NOT(ISNUMBER(MATCH(DATE($A$2,INT((COLUMN()-1)/31.001)+$A$1,ROUNDUP(MOD(COLUMN()-1,31.001),0)),HolidayList[Date],0))),(VLOOKUP(VLOOKUP(WEEKDAY(DATE($A$2,INT((COLUMN()-1)/31.001)+$A$1,ROUNDUP(MOD(COLUMN()-1,31.001),0)),2),Sheet3!$D$1:$E$7,2,0),$NW$21:$NX$35,2,0)="Yes"))</f>
        <v>1</v>
      </c>
      <c r="GB3" s="13" t="b">
        <f>AND(NOT(ISNUMBER(MATCH(DATE($A$2,INT((COLUMN()-1)/31.001)+$A$1,ROUNDUP(MOD(COLUMN()-1,31.001),0)),HolidayList[Date],0))),(VLOOKUP(VLOOKUP(WEEKDAY(DATE($A$2,INT((COLUMN()-1)/31.001)+$A$1,ROUNDUP(MOD(COLUMN()-1,31.001),0)),2),Sheet3!$D$1:$E$7,2,0),$NW$21:$NX$35,2,0)="Yes"))</f>
        <v>0</v>
      </c>
      <c r="GC3" s="13" t="b">
        <f>AND(NOT(ISNUMBER(MATCH(DATE($A$2,INT((COLUMN()-1)/31.001)+$A$1,ROUNDUP(MOD(COLUMN()-1,31.001),0)),HolidayList[Date],0))),(VLOOKUP(VLOOKUP(WEEKDAY(DATE($A$2,INT((COLUMN()-1)/31.001)+$A$1,ROUNDUP(MOD(COLUMN()-1,31.001),0)),2),Sheet3!$D$1:$E$7,2,0),$NW$21:$NX$35,2,0)="Yes"))</f>
        <v>0</v>
      </c>
      <c r="GD3" s="13" t="b">
        <f>AND(NOT(ISNUMBER(MATCH(DATE($A$2,INT((COLUMN()-1)/31.001)+$A$1,ROUNDUP(MOD(COLUMN()-1,31.001),0)),HolidayList[Date],0))),(VLOOKUP(VLOOKUP(WEEKDAY(DATE($A$2,INT((COLUMN()-1)/31.001)+$A$1,ROUNDUP(MOD(COLUMN()-1,31.001),0)),2),Sheet3!$D$1:$E$7,2,0),$NW$21:$NX$35,2,0)="Yes"))</f>
        <v>1</v>
      </c>
      <c r="GE3" s="13" t="b">
        <f>AND(NOT(ISNUMBER(MATCH(DATE($A$2,INT((COLUMN()-1)/31.001)+$A$1,ROUNDUP(MOD(COLUMN()-1,31.001),0)),HolidayList[Date],0))),(VLOOKUP(VLOOKUP(WEEKDAY(DATE($A$2,INT((COLUMN()-1)/31.001)+$A$1,ROUNDUP(MOD(COLUMN()-1,31.001),0)),2),Sheet3!$D$1:$E$7,2,0),$NW$21:$NX$35,2,0)="Yes"))</f>
        <v>1</v>
      </c>
      <c r="GF3" s="13" t="b">
        <f>AND(NOT(ISNUMBER(MATCH(DATE($A$2,INT((COLUMN()-1)/31.001)+$A$1,ROUNDUP(MOD(COLUMN()-1,31.001),0)),HolidayList[Date],0))),(VLOOKUP(VLOOKUP(WEEKDAY(DATE($A$2,INT((COLUMN()-1)/31.001)+$A$1,ROUNDUP(MOD(COLUMN()-1,31.001),0)),2),Sheet3!$D$1:$E$7,2,0),$NW$21:$NX$35,2,0)="Yes"))</f>
        <v>1</v>
      </c>
      <c r="GG3" s="13" t="b">
        <f>AND(NOT(ISNUMBER(MATCH(DATE($A$2,INT((COLUMN()-1)/31.001)+$A$1,ROUNDUP(MOD(COLUMN()-1,31.001),0)),HolidayList[Date],0))),(VLOOKUP(VLOOKUP(WEEKDAY(DATE($A$2,INT((COLUMN()-1)/31.001)+$A$1,ROUNDUP(MOD(COLUMN()-1,31.001),0)),2),Sheet3!$D$1:$E$7,2,0),$NW$21:$NX$35,2,0)="Yes"))</f>
        <v>1</v>
      </c>
      <c r="GH3" s="13" t="b">
        <f>AND(NOT(ISNUMBER(MATCH(DATE($A$2,INT((COLUMN()-1)/31.001)+$A$1,ROUNDUP(MOD(COLUMN()-1,31.001),0)),HolidayList[Date],0))),(VLOOKUP(VLOOKUP(WEEKDAY(DATE($A$2,INT((COLUMN()-1)/31.001)+$A$1,ROUNDUP(MOD(COLUMN()-1,31.001),0)),2),Sheet3!$D$1:$E$7,2,0),$NW$21:$NX$35,2,0)="Yes"))</f>
        <v>1</v>
      </c>
      <c r="GI3" s="13" t="b">
        <f>AND(NOT(ISNUMBER(MATCH(DATE($A$2,INT((COLUMN()-1)/31.001)+$A$1,ROUNDUP(MOD(COLUMN()-1,31.001),0)),HolidayList[Date],0))),(VLOOKUP(VLOOKUP(WEEKDAY(DATE($A$2,INT((COLUMN()-1)/31.001)+$A$1,ROUNDUP(MOD(COLUMN()-1,31.001),0)),2),Sheet3!$D$1:$E$7,2,0),$NW$21:$NX$35,2,0)="Yes"))</f>
        <v>1</v>
      </c>
      <c r="GJ3" s="13" t="b">
        <f>AND(NOT(ISNUMBER(MATCH(DATE($A$2,INT((COLUMN()-1)/31.001)+$A$1,ROUNDUP(MOD(COLUMN()-1,31.001),0)),HolidayList[Date],0))),(VLOOKUP(VLOOKUP(WEEKDAY(DATE($A$2,INT((COLUMN()-1)/31.001)+$A$1,ROUNDUP(MOD(COLUMN()-1,31.001),0)),2),Sheet3!$D$1:$E$7,2,0),$NW$21:$NX$35,2,0)="Yes"))</f>
        <v>0</v>
      </c>
      <c r="GK3" s="13" t="b">
        <f>AND(NOT(ISNUMBER(MATCH(DATE($A$2,INT((COLUMN()-1)/31.001)+$A$1,ROUNDUP(MOD(COLUMN()-1,31.001),0)),HolidayList[Date],0))),(VLOOKUP(VLOOKUP(WEEKDAY(DATE($A$2,INT((COLUMN()-1)/31.001)+$A$1,ROUNDUP(MOD(COLUMN()-1,31.001),0)),2),Sheet3!$D$1:$E$7,2,0),$NW$21:$NX$35,2,0)="Yes"))</f>
        <v>0</v>
      </c>
      <c r="GL3" s="13" t="b">
        <f>AND(NOT(ISNUMBER(MATCH(DATE($A$2,INT((COLUMN()-1)/31.001)+$A$1,ROUNDUP(MOD(COLUMN()-1,31.001),0)),HolidayList[Date],0))),(VLOOKUP(VLOOKUP(WEEKDAY(DATE($A$2,INT((COLUMN()-1)/31.001)+$A$1,ROUNDUP(MOD(COLUMN()-1,31.001),0)),2),Sheet3!$D$1:$E$7,2,0),$NW$21:$NX$35,2,0)="Yes"))</f>
        <v>1</v>
      </c>
      <c r="GM3" s="13" t="b">
        <f>AND(NOT(ISNUMBER(MATCH(DATE($A$2,INT((COLUMN()-1)/31.001)+$A$1,ROUNDUP(MOD(COLUMN()-1,31.001),0)),HolidayList[Date],0))),(VLOOKUP(VLOOKUP(WEEKDAY(DATE($A$2,INT((COLUMN()-1)/31.001)+$A$1,ROUNDUP(MOD(COLUMN()-1,31.001),0)),2),Sheet3!$D$1:$E$7,2,0),$NW$21:$NX$35,2,0)="Yes"))</f>
        <v>1</v>
      </c>
      <c r="GN3" s="13" t="b">
        <f>AND(NOT(ISNUMBER(MATCH(DATE($A$2,INT((COLUMN()-1)/31.001)+$A$1,ROUNDUP(MOD(COLUMN()-1,31.001),0)),HolidayList[Date],0))),(VLOOKUP(VLOOKUP(WEEKDAY(DATE($A$2,INT((COLUMN()-1)/31.001)+$A$1,ROUNDUP(MOD(COLUMN()-1,31.001),0)),2),Sheet3!$D$1:$E$7,2,0),$NW$21:$NX$35,2,0)="Yes"))</f>
        <v>1</v>
      </c>
      <c r="GO3" s="13" t="b">
        <f>AND(NOT(ISNUMBER(MATCH(DATE($A$2,INT((COLUMN()-1)/31.001)+$A$1,ROUNDUP(MOD(COLUMN()-1,31.001),0)),HolidayList[Date],0))),(VLOOKUP(VLOOKUP(WEEKDAY(DATE($A$2,INT((COLUMN()-1)/31.001)+$A$1,ROUNDUP(MOD(COLUMN()-1,31.001),0)),2),Sheet3!$D$1:$E$7,2,0),$NW$21:$NX$35,2,0)="Yes"))</f>
        <v>1</v>
      </c>
      <c r="GP3" s="13" t="b">
        <f>AND(NOT(ISNUMBER(MATCH(DATE($A$2,INT((COLUMN()-1)/31.001)+$A$1,ROUNDUP(MOD(COLUMN()-1,31.001),0)),HolidayList[Date],0))),(VLOOKUP(VLOOKUP(WEEKDAY(DATE($A$2,INT((COLUMN()-1)/31.001)+$A$1,ROUNDUP(MOD(COLUMN()-1,31.001),0)),2),Sheet3!$D$1:$E$7,2,0),$NW$21:$NX$35,2,0)="Yes"))</f>
        <v>1</v>
      </c>
      <c r="GQ3" s="13" t="b">
        <f>AND(NOT(ISNUMBER(MATCH(DATE($A$2,INT((COLUMN()-1)/31.001)+$A$1,ROUNDUP(MOD(COLUMN()-1,31.001),0)),HolidayList[Date],0))),(VLOOKUP(VLOOKUP(WEEKDAY(DATE($A$2,INT((COLUMN()-1)/31.001)+$A$1,ROUNDUP(MOD(COLUMN()-1,31.001),0)),2),Sheet3!$D$1:$E$7,2,0),$NW$21:$NX$35,2,0)="Yes"))</f>
        <v>0</v>
      </c>
      <c r="GR3" s="13" t="b">
        <f>AND(NOT(ISNUMBER(MATCH(DATE($A$2,INT((COLUMN()-1)/31.001)+$A$1,ROUNDUP(MOD(COLUMN()-1,31.001),0)),HolidayList[Date],0))),(VLOOKUP(VLOOKUP(WEEKDAY(DATE($A$2,INT((COLUMN()-1)/31.001)+$A$1,ROUNDUP(MOD(COLUMN()-1,31.001),0)),2),Sheet3!$D$1:$E$7,2,0),$NW$21:$NX$35,2,0)="Yes"))</f>
        <v>0</v>
      </c>
      <c r="GS3" s="13" t="b">
        <f>AND(NOT(ISNUMBER(MATCH(DATE($A$2,INT((COLUMN()-1)/31.001)+$A$1,ROUNDUP(MOD(COLUMN()-1,31.001),0)),HolidayList[Date],0))),(VLOOKUP(VLOOKUP(WEEKDAY(DATE($A$2,INT((COLUMN()-1)/31.001)+$A$1,ROUNDUP(MOD(COLUMN()-1,31.001),0)),2),Sheet3!$D$1:$E$7,2,0),$NW$21:$NX$35,2,0)="Yes"))</f>
        <v>1</v>
      </c>
      <c r="GT3" s="13" t="b">
        <f>AND(NOT(ISNUMBER(MATCH(DATE($A$2,INT((COLUMN()-1)/31.001)+$A$1,ROUNDUP(MOD(COLUMN()-1,31.001),0)),HolidayList[Date],0))),(VLOOKUP(VLOOKUP(WEEKDAY(DATE($A$2,INT((COLUMN()-1)/31.001)+$A$1,ROUNDUP(MOD(COLUMN()-1,31.001),0)),2),Sheet3!$D$1:$E$7,2,0),$NW$21:$NX$35,2,0)="Yes"))</f>
        <v>1</v>
      </c>
      <c r="GU3" s="13" t="b">
        <f>AND(NOT(ISNUMBER(MATCH(DATE($A$2,INT((COLUMN()-1)/31.001)+$A$1,ROUNDUP(MOD(COLUMN()-1,31.001),0)),HolidayList[Date],0))),(VLOOKUP(VLOOKUP(WEEKDAY(DATE($A$2,INT((COLUMN()-1)/31.001)+$A$1,ROUNDUP(MOD(COLUMN()-1,31.001),0)),2),Sheet3!$D$1:$E$7,2,0),$NW$21:$NX$35,2,0)="Yes"))</f>
        <v>1</v>
      </c>
      <c r="GV3" s="13" t="b">
        <f>AND(NOT(ISNUMBER(MATCH(DATE($A$2,INT((COLUMN()-1)/31.001)+$A$1,ROUNDUP(MOD(COLUMN()-1,31.001),0)),HolidayList[Date],0))),(VLOOKUP(VLOOKUP(WEEKDAY(DATE($A$2,INT((COLUMN()-1)/31.001)+$A$1,ROUNDUP(MOD(COLUMN()-1,31.001),0)),2),Sheet3!$D$1:$E$7,2,0),$NW$21:$NX$35,2,0)="Yes"))</f>
        <v>1</v>
      </c>
      <c r="GW3" s="13" t="b">
        <f>AND(NOT(ISNUMBER(MATCH(DATE($A$2,INT((COLUMN()-1)/31.001)+$A$1,ROUNDUP(MOD(COLUMN()-1,31.001),0)),HolidayList[Date],0))),(VLOOKUP(VLOOKUP(WEEKDAY(DATE($A$2,INT((COLUMN()-1)/31.001)+$A$1,ROUNDUP(MOD(COLUMN()-1,31.001),0)),2),Sheet3!$D$1:$E$7,2,0),$NW$21:$NX$35,2,0)="Yes"))</f>
        <v>1</v>
      </c>
      <c r="GX3" s="13" t="b">
        <f>AND(NOT(ISNUMBER(MATCH(DATE($A$2,INT((COLUMN()-1)/31.001)+$A$1,ROUNDUP(MOD(COLUMN()-1,31.001),0)),HolidayList[Date],0))),(VLOOKUP(VLOOKUP(WEEKDAY(DATE($A$2,INT((COLUMN()-1)/31.001)+$A$1,ROUNDUP(MOD(COLUMN()-1,31.001),0)),2),Sheet3!$D$1:$E$7,2,0),$NW$21:$NX$35,2,0)="Yes"))</f>
        <v>0</v>
      </c>
      <c r="GY3" s="13" t="b">
        <f>AND(NOT(ISNUMBER(MATCH(DATE($A$2,INT((COLUMN()-1)/31.001)+$A$1,ROUNDUP(MOD(COLUMN()-1,31.001),0)),HolidayList[Date],0))),(VLOOKUP(VLOOKUP(WEEKDAY(DATE($A$2,INT((COLUMN()-1)/31.001)+$A$1,ROUNDUP(MOD(COLUMN()-1,31.001),0)),2),Sheet3!$D$1:$E$7,2,0),$NW$21:$NX$35,2,0)="Yes"))</f>
        <v>0</v>
      </c>
      <c r="GZ3" s="13" t="b">
        <f>AND(NOT(ISNUMBER(MATCH(DATE($A$2,INT((COLUMN()-1)/31.001)+$A$1,ROUNDUP(MOD(COLUMN()-1,31.001),0)),HolidayList[Date],0))),(VLOOKUP(VLOOKUP(WEEKDAY(DATE($A$2,INT((COLUMN()-1)/31.001)+$A$1,ROUNDUP(MOD(COLUMN()-1,31.001),0)),2),Sheet3!$D$1:$E$7,2,0),$NW$21:$NX$35,2,0)="Yes"))</f>
        <v>1</v>
      </c>
      <c r="HA3" s="13" t="b">
        <f>AND(NOT(ISNUMBER(MATCH(DATE($A$2,INT((COLUMN()-1)/31.001)+$A$1,ROUNDUP(MOD(COLUMN()-1,31.001),0)),HolidayList[Date],0))),(VLOOKUP(VLOOKUP(WEEKDAY(DATE($A$2,INT((COLUMN()-1)/31.001)+$A$1,ROUNDUP(MOD(COLUMN()-1,31.001),0)),2),Sheet3!$D$1:$E$7,2,0),$NW$21:$NX$35,2,0)="Yes"))</f>
        <v>1</v>
      </c>
      <c r="HB3" s="13" t="b">
        <f>AND(NOT(ISNUMBER(MATCH(DATE($A$2,INT((COLUMN()-1)/31.001)+$A$1,ROUNDUP(MOD(COLUMN()-1,31.001),0)),HolidayList[Date],0))),(VLOOKUP(VLOOKUP(WEEKDAY(DATE($A$2,INT((COLUMN()-1)/31.001)+$A$1,ROUNDUP(MOD(COLUMN()-1,31.001),0)),2),Sheet3!$D$1:$E$7,2,0),$NW$21:$NX$35,2,0)="Yes"))</f>
        <v>1</v>
      </c>
      <c r="HC3" s="13" t="b">
        <f>AND(NOT(ISNUMBER(MATCH(DATE($A$2,INT((COLUMN()-1)/31.001)+$A$1,ROUNDUP(MOD(COLUMN()-1,31.001),0)),HolidayList[Date],0))),(VLOOKUP(VLOOKUP(WEEKDAY(DATE($A$2,INT((COLUMN()-1)/31.001)+$A$1,ROUNDUP(MOD(COLUMN()-1,31.001),0)),2),Sheet3!$D$1:$E$7,2,0),$NW$21:$NX$35,2,0)="Yes"))</f>
        <v>1</v>
      </c>
      <c r="HD3" s="13" t="b">
        <f>AND(NOT(ISNUMBER(MATCH(DATE($A$2,INT((COLUMN()-1)/31.001)+$A$1,ROUNDUP(MOD(COLUMN()-1,31.001),0)),HolidayList[Date],0))),(VLOOKUP(VLOOKUP(WEEKDAY(DATE($A$2,INT((COLUMN()-1)/31.001)+$A$1,ROUNDUP(MOD(COLUMN()-1,31.001),0)),2),Sheet3!$D$1:$E$7,2,0),$NW$21:$NX$35,2,0)="Yes"))</f>
        <v>1</v>
      </c>
      <c r="HE3" s="13" t="b">
        <f>AND(NOT(ISNUMBER(MATCH(DATE($A$2,INT((COLUMN()-1)/31.001)+$A$1,ROUNDUP(MOD(COLUMN()-1,31.001),0)),HolidayList[Date],0))),(VLOOKUP(VLOOKUP(WEEKDAY(DATE($A$2,INT((COLUMN()-1)/31.001)+$A$1,ROUNDUP(MOD(COLUMN()-1,31.001),0)),2),Sheet3!$D$1:$E$7,2,0),$NW$21:$NX$35,2,0)="Yes"))</f>
        <v>0</v>
      </c>
      <c r="HF3" s="13" t="b">
        <f>AND(NOT(ISNUMBER(MATCH(DATE($A$2,INT((COLUMN()-1)/31.001)+$A$1,ROUNDUP(MOD(COLUMN()-1,31.001),0)),HolidayList[Date],0))),(VLOOKUP(VLOOKUP(WEEKDAY(DATE($A$2,INT((COLUMN()-1)/31.001)+$A$1,ROUNDUP(MOD(COLUMN()-1,31.001),0)),2),Sheet3!$D$1:$E$7,2,0),$NW$21:$NX$35,2,0)="Yes"))</f>
        <v>0</v>
      </c>
      <c r="HG3" s="13" t="b">
        <f>AND(NOT(ISNUMBER(MATCH(DATE($A$2,INT((COLUMN()-1)/31.001)+$A$1,ROUNDUP(MOD(COLUMN()-1,31.001),0)),HolidayList[Date],0))),(VLOOKUP(VLOOKUP(WEEKDAY(DATE($A$2,INT((COLUMN()-1)/31.001)+$A$1,ROUNDUP(MOD(COLUMN()-1,31.001),0)),2),Sheet3!$D$1:$E$7,2,0),$NW$21:$NX$35,2,0)="Yes"))</f>
        <v>1</v>
      </c>
      <c r="HH3" s="13" t="b">
        <f>AND(NOT(ISNUMBER(MATCH(DATE($A$2,INT((COLUMN()-1)/31.001)+$A$1,ROUNDUP(MOD(COLUMN()-1,31.001),0)),HolidayList[Date],0))),(VLOOKUP(VLOOKUP(WEEKDAY(DATE($A$2,INT((COLUMN()-1)/31.001)+$A$1,ROUNDUP(MOD(COLUMN()-1,31.001),0)),2),Sheet3!$D$1:$E$7,2,0),$NW$21:$NX$35,2,0)="Yes"))</f>
        <v>1</v>
      </c>
      <c r="HI3" s="13" t="b">
        <f>AND(NOT(ISNUMBER(MATCH(DATE($A$2,INT((COLUMN()-1)/31.001)+$A$1,ROUNDUP(MOD(COLUMN()-1,31.001),0)),HolidayList[Date],0))),(VLOOKUP(VLOOKUP(WEEKDAY(DATE($A$2,INT((COLUMN()-1)/31.001)+$A$1,ROUNDUP(MOD(COLUMN()-1,31.001),0)),2),Sheet3!$D$1:$E$7,2,0),$NW$21:$NX$35,2,0)="Yes"))</f>
        <v>1</v>
      </c>
      <c r="HJ3" s="13" t="b">
        <f>AND(NOT(ISNUMBER(MATCH(DATE($A$2,INT((COLUMN()-1)/31.001)+$A$1,ROUNDUP(MOD(COLUMN()-1,31.001),0)),HolidayList[Date],0))),(VLOOKUP(VLOOKUP(WEEKDAY(DATE($A$2,INT((COLUMN()-1)/31.001)+$A$1,ROUNDUP(MOD(COLUMN()-1,31.001),0)),2),Sheet3!$D$1:$E$7,2,0),$NW$21:$NX$35,2,0)="Yes"))</f>
        <v>1</v>
      </c>
      <c r="HK3" s="13" t="b">
        <f>AND(NOT(ISNUMBER(MATCH(DATE($A$2,INT((COLUMN()-1)/31.001)+$A$1,ROUNDUP(MOD(COLUMN()-1,31.001),0)),HolidayList[Date],0))),(VLOOKUP(VLOOKUP(WEEKDAY(DATE($A$2,INT((COLUMN()-1)/31.001)+$A$1,ROUNDUP(MOD(COLUMN()-1,31.001),0)),2),Sheet3!$D$1:$E$7,2,0),$NW$21:$NX$35,2,0)="Yes"))</f>
        <v>1</v>
      </c>
      <c r="HL3" s="13" t="b">
        <f>AND(NOT(ISNUMBER(MATCH(DATE($A$2,INT((COLUMN()-1)/31.001)+$A$1,ROUNDUP(MOD(COLUMN()-1,31.001),0)),HolidayList[Date],0))),(VLOOKUP(VLOOKUP(WEEKDAY(DATE($A$2,INT((COLUMN()-1)/31.001)+$A$1,ROUNDUP(MOD(COLUMN()-1,31.001),0)),2),Sheet3!$D$1:$E$7,2,0),$NW$21:$NX$35,2,0)="Yes"))</f>
        <v>0</v>
      </c>
      <c r="HM3" s="13" t="b">
        <f>AND(NOT(ISNUMBER(MATCH(DATE($A$2,INT((COLUMN()-1)/31.001)+$A$1,ROUNDUP(MOD(COLUMN()-1,31.001),0)),HolidayList[Date],0))),(VLOOKUP(VLOOKUP(WEEKDAY(DATE($A$2,INT((COLUMN()-1)/31.001)+$A$1,ROUNDUP(MOD(COLUMN()-1,31.001),0)),2),Sheet3!$D$1:$E$7,2,0),$NW$21:$NX$35,2,0)="Yes"))</f>
        <v>0</v>
      </c>
      <c r="HN3" s="13" t="b">
        <f>AND(NOT(ISNUMBER(MATCH(DATE($A$2,INT((COLUMN()-1)/31.001)+$A$1,ROUNDUP(MOD(COLUMN()-1,31.001),0)),HolidayList[Date],0))),(VLOOKUP(VLOOKUP(WEEKDAY(DATE($A$2,INT((COLUMN()-1)/31.001)+$A$1,ROUNDUP(MOD(COLUMN()-1,31.001),0)),2),Sheet3!$D$1:$E$7,2,0),$NW$21:$NX$35,2,0)="Yes"))</f>
        <v>1</v>
      </c>
      <c r="HO3" s="13" t="b">
        <f>AND(NOT(ISNUMBER(MATCH(DATE($A$2,INT((COLUMN()-1)/31.001)+$A$1,ROUNDUP(MOD(COLUMN()-1,31.001),0)),HolidayList[Date],0))),(VLOOKUP(VLOOKUP(WEEKDAY(DATE($A$2,INT((COLUMN()-1)/31.001)+$A$1,ROUNDUP(MOD(COLUMN()-1,31.001),0)),2),Sheet3!$D$1:$E$7,2,0),$NW$21:$NX$35,2,0)="Yes"))</f>
        <v>1</v>
      </c>
      <c r="HP3" s="13" t="b">
        <f>AND(NOT(ISNUMBER(MATCH(DATE($A$2,INT((COLUMN()-1)/31.001)+$A$1,ROUNDUP(MOD(COLUMN()-1,31.001),0)),HolidayList[Date],0))),(VLOOKUP(VLOOKUP(WEEKDAY(DATE($A$2,INT((COLUMN()-1)/31.001)+$A$1,ROUNDUP(MOD(COLUMN()-1,31.001),0)),2),Sheet3!$D$1:$E$7,2,0),$NW$21:$NX$35,2,0)="Yes"))</f>
        <v>1</v>
      </c>
      <c r="HQ3" s="13" t="b">
        <f>AND(NOT(ISNUMBER(MATCH(DATE($A$2,INT((COLUMN()-1)/31.001)+$A$1,ROUNDUP(MOD(COLUMN()-1,31.001),0)),HolidayList[Date],0))),(VLOOKUP(VLOOKUP(WEEKDAY(DATE($A$2,INT((COLUMN()-1)/31.001)+$A$1,ROUNDUP(MOD(COLUMN()-1,31.001),0)),2),Sheet3!$D$1:$E$7,2,0),$NW$21:$NX$35,2,0)="Yes"))</f>
        <v>1</v>
      </c>
      <c r="HR3" s="13" t="b">
        <f>AND(NOT(ISNUMBER(MATCH(DATE($A$2,INT((COLUMN()-1)/31.001)+$A$1,ROUNDUP(MOD(COLUMN()-1,31.001),0)),HolidayList[Date],0))),(VLOOKUP(VLOOKUP(WEEKDAY(DATE($A$2,INT((COLUMN()-1)/31.001)+$A$1,ROUNDUP(MOD(COLUMN()-1,31.001),0)),2),Sheet3!$D$1:$E$7,2,0),$NW$21:$NX$35,2,0)="Yes"))</f>
        <v>1</v>
      </c>
      <c r="HS3" s="13" t="b">
        <f>AND(NOT(ISNUMBER(MATCH(DATE($A$2,INT((COLUMN()-1)/31.001)+$A$1,ROUNDUP(MOD(COLUMN()-1,31.001),0)),HolidayList[Date],0))),(VLOOKUP(VLOOKUP(WEEKDAY(DATE($A$2,INT((COLUMN()-1)/31.001)+$A$1,ROUNDUP(MOD(COLUMN()-1,31.001),0)),2),Sheet3!$D$1:$E$7,2,0),$NW$21:$NX$35,2,0)="Yes"))</f>
        <v>0</v>
      </c>
      <c r="HT3" s="13" t="b">
        <f>AND(NOT(ISNUMBER(MATCH(DATE($A$2,INT((COLUMN()-1)/31.001)+$A$1,ROUNDUP(MOD(COLUMN()-1,31.001),0)),HolidayList[Date],0))),(VLOOKUP(VLOOKUP(WEEKDAY(DATE($A$2,INT((COLUMN()-1)/31.001)+$A$1,ROUNDUP(MOD(COLUMN()-1,31.001),0)),2),Sheet3!$D$1:$E$7,2,0),$NW$21:$NX$35,2,0)="Yes"))</f>
        <v>0</v>
      </c>
      <c r="HU3" s="13" t="b">
        <f>AND(NOT(ISNUMBER(MATCH(DATE($A$2,INT((COLUMN()-1)/31.001)+$A$1,ROUNDUP(MOD(COLUMN()-1,31.001),0)),HolidayList[Date],0))),(VLOOKUP(VLOOKUP(WEEKDAY(DATE($A$2,INT((COLUMN()-1)/31.001)+$A$1,ROUNDUP(MOD(COLUMN()-1,31.001),0)),2),Sheet3!$D$1:$E$7,2,0),$NW$21:$NX$35,2,0)="Yes"))</f>
        <v>1</v>
      </c>
      <c r="HV3" s="13" t="b">
        <f>AND(NOT(ISNUMBER(MATCH(DATE($A$2,INT((COLUMN()-1)/31.001)+$A$1,ROUNDUP(MOD(COLUMN()-1,31.001),0)),HolidayList[Date],0))),(VLOOKUP(VLOOKUP(WEEKDAY(DATE($A$2,INT((COLUMN()-1)/31.001)+$A$1,ROUNDUP(MOD(COLUMN()-1,31.001),0)),2),Sheet3!$D$1:$E$7,2,0),$NW$21:$NX$35,2,0)="Yes"))</f>
        <v>1</v>
      </c>
      <c r="HW3" s="13" t="b">
        <f>AND(NOT(ISNUMBER(MATCH(DATE($A$2,INT((COLUMN()-1)/31.001)+$A$1,ROUNDUP(MOD(COLUMN()-1,31.001),0)),HolidayList[Date],0))),(VLOOKUP(VLOOKUP(WEEKDAY(DATE($A$2,INT((COLUMN()-1)/31.001)+$A$1,ROUNDUP(MOD(COLUMN()-1,31.001),0)),2),Sheet3!$D$1:$E$7,2,0),$NW$21:$NX$35,2,0)="Yes"))</f>
        <v>1</v>
      </c>
      <c r="HX3" s="13" t="b">
        <f>AND(NOT(ISNUMBER(MATCH(DATE($A$2,INT((COLUMN()-1)/31.001)+$A$1,ROUNDUP(MOD(COLUMN()-1,31.001),0)),HolidayList[Date],0))),(VLOOKUP(VLOOKUP(WEEKDAY(DATE($A$2,INT((COLUMN()-1)/31.001)+$A$1,ROUNDUP(MOD(COLUMN()-1,31.001),0)),2),Sheet3!$D$1:$E$7,2,0),$NW$21:$NX$35,2,0)="Yes"))</f>
        <v>1</v>
      </c>
      <c r="HY3" s="13" t="b">
        <f>AND(NOT(ISNUMBER(MATCH(DATE($A$2,INT((COLUMN()-1)/31.001)+$A$1,ROUNDUP(MOD(COLUMN()-1,31.001),0)),HolidayList[Date],0))),(VLOOKUP(VLOOKUP(WEEKDAY(DATE($A$2,INT((COLUMN()-1)/31.001)+$A$1,ROUNDUP(MOD(COLUMN()-1,31.001),0)),2),Sheet3!$D$1:$E$7,2,0),$NW$21:$NX$35,2,0)="Yes"))</f>
        <v>1</v>
      </c>
      <c r="HZ3" s="13" t="b">
        <f>AND(NOT(ISNUMBER(MATCH(DATE($A$2,INT((COLUMN()-1)/31.001)+$A$1,ROUNDUP(MOD(COLUMN()-1,31.001),0)),HolidayList[Date],0))),(VLOOKUP(VLOOKUP(WEEKDAY(DATE($A$2,INT((COLUMN()-1)/31.001)+$A$1,ROUNDUP(MOD(COLUMN()-1,31.001),0)),2),Sheet3!$D$1:$E$7,2,0),$NW$21:$NX$35,2,0)="Yes"))</f>
        <v>0</v>
      </c>
      <c r="IA3" s="13" t="b">
        <f>AND(NOT(ISNUMBER(MATCH(DATE($A$2,INT((COLUMN()-1)/31.001)+$A$1,ROUNDUP(MOD(COLUMN()-1,31.001),0)),HolidayList[Date],0))),(VLOOKUP(VLOOKUP(WEEKDAY(DATE($A$2,INT((COLUMN()-1)/31.001)+$A$1,ROUNDUP(MOD(COLUMN()-1,31.001),0)),2),Sheet3!$D$1:$E$7,2,0),$NW$21:$NX$35,2,0)="Yes"))</f>
        <v>0</v>
      </c>
      <c r="IB3" s="13" t="b">
        <f>AND(NOT(ISNUMBER(MATCH(DATE($A$2,INT((COLUMN()-1)/31.001)+$A$1,ROUNDUP(MOD(COLUMN()-1,31.001),0)),HolidayList[Date],0))),(VLOOKUP(VLOOKUP(WEEKDAY(DATE($A$2,INT((COLUMN()-1)/31.001)+$A$1,ROUNDUP(MOD(COLUMN()-1,31.001),0)),2),Sheet3!$D$1:$E$7,2,0),$NW$21:$NX$35,2,0)="Yes"))</f>
        <v>1</v>
      </c>
      <c r="IC3" s="13" t="b">
        <f>AND(NOT(ISNUMBER(MATCH(DATE($A$2,INT((COLUMN()-1)/31.001)+$A$1,ROUNDUP(MOD(COLUMN()-1,31.001),0)),HolidayList[Date],0))),(VLOOKUP(VLOOKUP(WEEKDAY(DATE($A$2,INT((COLUMN()-1)/31.001)+$A$1,ROUNDUP(MOD(COLUMN()-1,31.001),0)),2),Sheet3!$D$1:$E$7,2,0),$NW$21:$NX$35,2,0)="Yes"))</f>
        <v>1</v>
      </c>
      <c r="ID3" s="13" t="b">
        <f>AND(NOT(ISNUMBER(MATCH(DATE($A$2,INT((COLUMN()-1)/31.001)+$A$1,ROUNDUP(MOD(COLUMN()-1,31.001),0)),HolidayList[Date],0))),(VLOOKUP(VLOOKUP(WEEKDAY(DATE($A$2,INT((COLUMN()-1)/31.001)+$A$1,ROUNDUP(MOD(COLUMN()-1,31.001),0)),2),Sheet3!$D$1:$E$7,2,0),$NW$21:$NX$35,2,0)="Yes"))</f>
        <v>1</v>
      </c>
      <c r="IE3" s="13" t="b">
        <f>AND(NOT(ISNUMBER(MATCH(DATE($A$2,INT((COLUMN()-1)/31.001)+$A$1,ROUNDUP(MOD(COLUMN()-1,31.001),0)),HolidayList[Date],0))),(VLOOKUP(VLOOKUP(WEEKDAY(DATE($A$2,INT((COLUMN()-1)/31.001)+$A$1,ROUNDUP(MOD(COLUMN()-1,31.001),0)),2),Sheet3!$D$1:$E$7,2,0),$NW$21:$NX$35,2,0)="Yes"))</f>
        <v>1</v>
      </c>
      <c r="IF3" s="13" t="b">
        <f>AND(NOT(ISNUMBER(MATCH(DATE($A$2,INT((COLUMN()-1)/31.001)+$A$1,ROUNDUP(MOD(COLUMN()-1,31.001),0)),HolidayList[Date],0))),(VLOOKUP(VLOOKUP(WEEKDAY(DATE($A$2,INT((COLUMN()-1)/31.001)+$A$1,ROUNDUP(MOD(COLUMN()-1,31.001),0)),2),Sheet3!$D$1:$E$7,2,0),$NW$21:$NX$35,2,0)="Yes"))</f>
        <v>1</v>
      </c>
      <c r="IG3" s="13" t="b">
        <f>AND(NOT(ISNUMBER(MATCH(DATE($A$2,INT((COLUMN()-1)/31.001)+$A$1,ROUNDUP(MOD(COLUMN()-1,31.001),0)),HolidayList[Date],0))),(VLOOKUP(VLOOKUP(WEEKDAY(DATE($A$2,INT((COLUMN()-1)/31.001)+$A$1,ROUNDUP(MOD(COLUMN()-1,31.001),0)),2),Sheet3!$D$1:$E$7,2,0),$NW$21:$NX$35,2,0)="Yes"))</f>
        <v>0</v>
      </c>
      <c r="IH3" s="13" t="b">
        <f>AND(NOT(ISNUMBER(MATCH(DATE($A$2,INT((COLUMN()-1)/31.001)+$A$1,ROUNDUP(MOD(COLUMN()-1,31.001),0)),HolidayList[Date],0))),(VLOOKUP(VLOOKUP(WEEKDAY(DATE($A$2,INT((COLUMN()-1)/31.001)+$A$1,ROUNDUP(MOD(COLUMN()-1,31.001),0)),2),Sheet3!$D$1:$E$7,2,0),$NW$21:$NX$35,2,0)="Yes"))</f>
        <v>0</v>
      </c>
      <c r="II3" s="13" t="b">
        <f>AND(NOT(ISNUMBER(MATCH(DATE($A$2,INT((COLUMN()-1)/31.001)+$A$1,ROUNDUP(MOD(COLUMN()-1,31.001),0)),HolidayList[Date],0))),(VLOOKUP(VLOOKUP(WEEKDAY(DATE($A$2,INT((COLUMN()-1)/31.001)+$A$1,ROUNDUP(MOD(COLUMN()-1,31.001),0)),2),Sheet3!$D$1:$E$7,2,0),$NW$21:$NX$35,2,0)="Yes"))</f>
        <v>1</v>
      </c>
      <c r="IJ3" s="13" t="b">
        <f>AND(NOT(ISNUMBER(MATCH(DATE($A$2,INT((COLUMN()-1)/31.001)+$A$1,ROUNDUP(MOD(COLUMN()-1,31.001),0)),HolidayList[Date],0))),(VLOOKUP(VLOOKUP(WEEKDAY(DATE($A$2,INT((COLUMN()-1)/31.001)+$A$1,ROUNDUP(MOD(COLUMN()-1,31.001),0)),2),Sheet3!$D$1:$E$7,2,0),$NW$21:$NX$35,2,0)="Yes"))</f>
        <v>1</v>
      </c>
      <c r="IK3" s="13" t="b">
        <f>AND(NOT(ISNUMBER(MATCH(DATE($A$2,INT((COLUMN()-1)/31.001)+$A$1,ROUNDUP(MOD(COLUMN()-1,31.001),0)),HolidayList[Date],0))),(VLOOKUP(VLOOKUP(WEEKDAY(DATE($A$2,INT((COLUMN()-1)/31.001)+$A$1,ROUNDUP(MOD(COLUMN()-1,31.001),0)),2),Sheet3!$D$1:$E$7,2,0),$NW$21:$NX$35,2,0)="Yes"))</f>
        <v>1</v>
      </c>
      <c r="IL3" s="13" t="b">
        <f>AND(NOT(ISNUMBER(MATCH(DATE($A$2,INT((COLUMN()-1)/31.001)+$A$1,ROUNDUP(MOD(COLUMN()-1,31.001),0)),HolidayList[Date],0))),(VLOOKUP(VLOOKUP(WEEKDAY(DATE($A$2,INT((COLUMN()-1)/31.001)+$A$1,ROUNDUP(MOD(COLUMN()-1,31.001),0)),2),Sheet3!$D$1:$E$7,2,0),$NW$21:$NX$35,2,0)="Yes"))</f>
        <v>1</v>
      </c>
      <c r="IM3" s="13" t="b">
        <f>AND(NOT(ISNUMBER(MATCH(DATE($A$2,INT((COLUMN()-1)/31.001)+$A$1,ROUNDUP(MOD(COLUMN()-1,31.001),0)),HolidayList[Date],0))),(VLOOKUP(VLOOKUP(WEEKDAY(DATE($A$2,INT((COLUMN()-1)/31.001)+$A$1,ROUNDUP(MOD(COLUMN()-1,31.001),0)),2),Sheet3!$D$1:$E$7,2,0),$NW$21:$NX$35,2,0)="Yes"))</f>
        <v>1</v>
      </c>
      <c r="IN3" s="13" t="b">
        <f>AND(NOT(ISNUMBER(MATCH(DATE($A$2,INT((COLUMN()-1)/31.001)+$A$1,ROUNDUP(MOD(COLUMN()-1,31.001),0)),HolidayList[Date],0))),(VLOOKUP(VLOOKUP(WEEKDAY(DATE($A$2,INT((COLUMN()-1)/31.001)+$A$1,ROUNDUP(MOD(COLUMN()-1,31.001),0)),2),Sheet3!$D$1:$E$7,2,0),$NW$21:$NX$35,2,0)="Yes"))</f>
        <v>0</v>
      </c>
      <c r="IO3" s="13" t="b">
        <f>AND(NOT(ISNUMBER(MATCH(DATE($A$2,INT((COLUMN()-1)/31.001)+$A$1,ROUNDUP(MOD(COLUMN()-1,31.001),0)),HolidayList[Date],0))),(VLOOKUP(VLOOKUP(WEEKDAY(DATE($A$2,INT((COLUMN()-1)/31.001)+$A$1,ROUNDUP(MOD(COLUMN()-1,31.001),0)),2),Sheet3!$D$1:$E$7,2,0),$NW$21:$NX$35,2,0)="Yes"))</f>
        <v>0</v>
      </c>
      <c r="IP3" s="13" t="b">
        <f>AND(NOT(ISNUMBER(MATCH(DATE($A$2,INT((COLUMN()-1)/31.001)+$A$1,ROUNDUP(MOD(COLUMN()-1,31.001),0)),HolidayList[Date],0))),(VLOOKUP(VLOOKUP(WEEKDAY(DATE($A$2,INT((COLUMN()-1)/31.001)+$A$1,ROUNDUP(MOD(COLUMN()-1,31.001),0)),2),Sheet3!$D$1:$E$7,2,0),$NW$21:$NX$35,2,0)="Yes"))</f>
        <v>1</v>
      </c>
      <c r="IQ3" s="13" t="b">
        <f>AND(NOT(ISNUMBER(MATCH(DATE($A$2,INT((COLUMN()-1)/31.001)+$A$1,ROUNDUP(MOD(COLUMN()-1,31.001),0)),HolidayList[Date],0))),(VLOOKUP(VLOOKUP(WEEKDAY(DATE($A$2,INT((COLUMN()-1)/31.001)+$A$1,ROUNDUP(MOD(COLUMN()-1,31.001),0)),2),Sheet3!$D$1:$E$7,2,0),$NW$21:$NX$35,2,0)="Yes"))</f>
        <v>1</v>
      </c>
      <c r="IR3" s="13" t="b">
        <f>AND(NOT(ISNUMBER(MATCH(DATE($A$2,INT((COLUMN()-1)/31.001)+$A$1,ROUNDUP(MOD(COLUMN()-1,31.001),0)),HolidayList[Date],0))),(VLOOKUP(VLOOKUP(WEEKDAY(DATE($A$2,INT((COLUMN()-1)/31.001)+$A$1,ROUNDUP(MOD(COLUMN()-1,31.001),0)),2),Sheet3!$D$1:$E$7,2,0),$NW$21:$NX$35,2,0)="Yes"))</f>
        <v>1</v>
      </c>
      <c r="IS3" s="13" t="b">
        <f>AND(NOT(ISNUMBER(MATCH(DATE($A$2,INT((COLUMN()-1)/31.001)+$A$1,ROUNDUP(MOD(COLUMN()-1,31.001),0)),HolidayList[Date],0))),(VLOOKUP(VLOOKUP(WEEKDAY(DATE($A$2,INT((COLUMN()-1)/31.001)+$A$1,ROUNDUP(MOD(COLUMN()-1,31.001),0)),2),Sheet3!$D$1:$E$7,2,0),$NW$21:$NX$35,2,0)="Yes"))</f>
        <v>1</v>
      </c>
      <c r="IT3" s="13" t="b">
        <f>AND(NOT(ISNUMBER(MATCH(DATE($A$2,INT((COLUMN()-1)/31.001)+$A$1,ROUNDUP(MOD(COLUMN()-1,31.001),0)),HolidayList[Date],0))),(VLOOKUP(VLOOKUP(WEEKDAY(DATE($A$2,INT((COLUMN()-1)/31.001)+$A$1,ROUNDUP(MOD(COLUMN()-1,31.001),0)),2),Sheet3!$D$1:$E$7,2,0),$NW$21:$NX$35,2,0)="Yes"))</f>
        <v>1</v>
      </c>
      <c r="IU3" s="13" t="b">
        <f>AND(NOT(ISNUMBER(MATCH(DATE($A$2,INT((COLUMN()-1)/31.001)+$A$1,ROUNDUP(MOD(COLUMN()-1,31.001),0)),HolidayList[Date],0))),(VLOOKUP(VLOOKUP(WEEKDAY(DATE($A$2,INT((COLUMN()-1)/31.001)+$A$1,ROUNDUP(MOD(COLUMN()-1,31.001),0)),2),Sheet3!$D$1:$E$7,2,0),$NW$21:$NX$35,2,0)="Yes"))</f>
        <v>0</v>
      </c>
      <c r="IV3" s="13" t="b">
        <f>AND(NOT(ISNUMBER(MATCH(DATE($A$2,INT((COLUMN()-1)/31.001)+$A$1,ROUNDUP(MOD(COLUMN()-1,31.001),0)),HolidayList[Date],0))),(VLOOKUP(VLOOKUP(WEEKDAY(DATE($A$2,INT((COLUMN()-1)/31.001)+$A$1,ROUNDUP(MOD(COLUMN()-1,31.001),0)),2),Sheet3!$D$1:$E$7,2,0),$NW$21:$NX$35,2,0)="Yes"))</f>
        <v>0</v>
      </c>
      <c r="IW3" s="13" t="b">
        <f>AND(NOT(ISNUMBER(MATCH(DATE($A$2,INT((COLUMN()-1)/31.001)+$A$1,ROUNDUP(MOD(COLUMN()-1,31.001),0)),HolidayList[Date],0))),(VLOOKUP(VLOOKUP(WEEKDAY(DATE($A$2,INT((COLUMN()-1)/31.001)+$A$1,ROUNDUP(MOD(COLUMN()-1,31.001),0)),2),Sheet3!$D$1:$E$7,2,0),$NW$21:$NX$35,2,0)="Yes"))</f>
        <v>1</v>
      </c>
      <c r="IX3" s="13" t="b">
        <f>AND(NOT(ISNUMBER(MATCH(DATE($A$2,INT((COLUMN()-1)/31.001)+$A$1,ROUNDUP(MOD(COLUMN()-1,31.001),0)),HolidayList[Date],0))),(VLOOKUP(VLOOKUP(WEEKDAY(DATE($A$2,INT((COLUMN()-1)/31.001)+$A$1,ROUNDUP(MOD(COLUMN()-1,31.001),0)),2),Sheet3!$D$1:$E$7,2,0),$NW$21:$NX$35,2,0)="Yes"))</f>
        <v>1</v>
      </c>
      <c r="IY3" s="13" t="b">
        <f>AND(NOT(ISNUMBER(MATCH(DATE($A$2,INT((COLUMN()-1)/31.001)+$A$1,ROUNDUP(MOD(COLUMN()-1,31.001),0)),HolidayList[Date],0))),(VLOOKUP(VLOOKUP(WEEKDAY(DATE($A$2,INT((COLUMN()-1)/31.001)+$A$1,ROUNDUP(MOD(COLUMN()-1,31.001),0)),2),Sheet3!$D$1:$E$7,2,0),$NW$21:$NX$35,2,0)="Yes"))</f>
        <v>1</v>
      </c>
      <c r="IZ3" s="13" t="b">
        <f>AND(NOT(ISNUMBER(MATCH(DATE($A$2,INT((COLUMN()-1)/31.001)+$A$1,ROUNDUP(MOD(COLUMN()-1,31.001),0)),HolidayList[Date],0))),(VLOOKUP(VLOOKUP(WEEKDAY(DATE($A$2,INT((COLUMN()-1)/31.001)+$A$1,ROUNDUP(MOD(COLUMN()-1,31.001),0)),2),Sheet3!$D$1:$E$7,2,0),$NW$21:$NX$35,2,0)="Yes"))</f>
        <v>1</v>
      </c>
      <c r="JA3" s="13" t="b">
        <f>AND(NOT(ISNUMBER(MATCH(DATE($A$2,INT((COLUMN()-1)/31.001)+$A$1,ROUNDUP(MOD(COLUMN()-1,31.001),0)),HolidayList[Date],0))),(VLOOKUP(VLOOKUP(WEEKDAY(DATE($A$2,INT((COLUMN()-1)/31.001)+$A$1,ROUNDUP(MOD(COLUMN()-1,31.001),0)),2),Sheet3!$D$1:$E$7,2,0),$NW$21:$NX$35,2,0)="Yes"))</f>
        <v>1</v>
      </c>
      <c r="JB3" s="13" t="b">
        <f>AND(NOT(ISNUMBER(MATCH(DATE($A$2,INT((COLUMN()-1)/31.001)+$A$1,ROUNDUP(MOD(COLUMN()-1,31.001),0)),HolidayList[Date],0))),(VLOOKUP(VLOOKUP(WEEKDAY(DATE($A$2,INT((COLUMN()-1)/31.001)+$A$1,ROUNDUP(MOD(COLUMN()-1,31.001),0)),2),Sheet3!$D$1:$E$7,2,0),$NW$21:$NX$35,2,0)="Yes"))</f>
        <v>0</v>
      </c>
      <c r="JC3" s="13" t="b">
        <f>AND(NOT(ISNUMBER(MATCH(DATE($A$2,INT((COLUMN()-1)/31.001)+$A$1,ROUNDUP(MOD(COLUMN()-1,31.001),0)),HolidayList[Date],0))),(VLOOKUP(VLOOKUP(WEEKDAY(DATE($A$2,INT((COLUMN()-1)/31.001)+$A$1,ROUNDUP(MOD(COLUMN()-1,31.001),0)),2),Sheet3!$D$1:$E$7,2,0),$NW$21:$NX$35,2,0)="Yes"))</f>
        <v>0</v>
      </c>
      <c r="JD3" s="13" t="b">
        <f>AND(NOT(ISNUMBER(MATCH(DATE($A$2,INT((COLUMN()-1)/31.001)+$A$1,ROUNDUP(MOD(COLUMN()-1,31.001),0)),HolidayList[Date],0))),(VLOOKUP(VLOOKUP(WEEKDAY(DATE($A$2,INT((COLUMN()-1)/31.001)+$A$1,ROUNDUP(MOD(COLUMN()-1,31.001),0)),2),Sheet3!$D$1:$E$7,2,0),$NW$21:$NX$35,2,0)="Yes"))</f>
        <v>1</v>
      </c>
      <c r="JE3" s="13" t="b">
        <f>AND(NOT(ISNUMBER(MATCH(DATE($A$2,INT((COLUMN()-1)/31.001)+$A$1,ROUNDUP(MOD(COLUMN()-1,31.001),0)),HolidayList[Date],0))),(VLOOKUP(VLOOKUP(WEEKDAY(DATE($A$2,INT((COLUMN()-1)/31.001)+$A$1,ROUNDUP(MOD(COLUMN()-1,31.001),0)),2),Sheet3!$D$1:$E$7,2,0),$NW$21:$NX$35,2,0)="Yes"))</f>
        <v>1</v>
      </c>
      <c r="JF3" s="13" t="b">
        <f>AND(NOT(ISNUMBER(MATCH(DATE($A$2,INT((COLUMN()-1)/31.001)+$A$1,ROUNDUP(MOD(COLUMN()-1,31.001),0)),HolidayList[Date],0))),(VLOOKUP(VLOOKUP(WEEKDAY(DATE($A$2,INT((COLUMN()-1)/31.001)+$A$1,ROUNDUP(MOD(COLUMN()-1,31.001),0)),2),Sheet3!$D$1:$E$7,2,0),$NW$21:$NX$35,2,0)="Yes"))</f>
        <v>1</v>
      </c>
      <c r="JG3" s="13" t="b">
        <f>AND(NOT(ISNUMBER(MATCH(DATE($A$2,INT((COLUMN()-1)/31.001)+$A$1,ROUNDUP(MOD(COLUMN()-1,31.001),0)),HolidayList[Date],0))),(VLOOKUP(VLOOKUP(WEEKDAY(DATE($A$2,INT((COLUMN()-1)/31.001)+$A$1,ROUNDUP(MOD(COLUMN()-1,31.001),0)),2),Sheet3!$D$1:$E$7,2,0),$NW$21:$NX$35,2,0)="Yes"))</f>
        <v>1</v>
      </c>
      <c r="JH3" s="13" t="b">
        <f>AND(NOT(ISNUMBER(MATCH(DATE($A$2,INT((COLUMN()-1)/31.001)+$A$1,ROUNDUP(MOD(COLUMN()-1,31.001),0)),HolidayList[Date],0))),(VLOOKUP(VLOOKUP(WEEKDAY(DATE($A$2,INT((COLUMN()-1)/31.001)+$A$1,ROUNDUP(MOD(COLUMN()-1,31.001),0)),2),Sheet3!$D$1:$E$7,2,0),$NW$21:$NX$35,2,0)="Yes"))</f>
        <v>1</v>
      </c>
      <c r="JI3" s="13" t="b">
        <f>AND(NOT(ISNUMBER(MATCH(DATE($A$2,INT((COLUMN()-1)/31.001)+$A$1,ROUNDUP(MOD(COLUMN()-1,31.001),0)),HolidayList[Date],0))),(VLOOKUP(VLOOKUP(WEEKDAY(DATE($A$2,INT((COLUMN()-1)/31.001)+$A$1,ROUNDUP(MOD(COLUMN()-1,31.001),0)),2),Sheet3!$D$1:$E$7,2,0),$NW$21:$NX$35,2,0)="Yes"))</f>
        <v>0</v>
      </c>
      <c r="JJ3" s="13" t="b">
        <f>AND(NOT(ISNUMBER(MATCH(DATE($A$2,INT((COLUMN()-1)/31.001)+$A$1,ROUNDUP(MOD(COLUMN()-1,31.001),0)),HolidayList[Date],0))),(VLOOKUP(VLOOKUP(WEEKDAY(DATE($A$2,INT((COLUMN()-1)/31.001)+$A$1,ROUNDUP(MOD(COLUMN()-1,31.001),0)),2),Sheet3!$D$1:$E$7,2,0),$NW$21:$NX$35,2,0)="Yes"))</f>
        <v>0</v>
      </c>
      <c r="JK3" s="13" t="b">
        <f>AND(NOT(ISNUMBER(MATCH(DATE($A$2,INT((COLUMN()-1)/31.001)+$A$1,ROUNDUP(MOD(COLUMN()-1,31.001),0)),HolidayList[Date],0))),(VLOOKUP(VLOOKUP(WEEKDAY(DATE($A$2,INT((COLUMN()-1)/31.001)+$A$1,ROUNDUP(MOD(COLUMN()-1,31.001),0)),2),Sheet3!$D$1:$E$7,2,0),$NW$21:$NX$35,2,0)="Yes"))</f>
        <v>1</v>
      </c>
      <c r="JL3" s="13" t="b">
        <f>AND(NOT(ISNUMBER(MATCH(DATE($A$2,INT((COLUMN()-1)/31.001)+$A$1,ROUNDUP(MOD(COLUMN()-1,31.001),0)),HolidayList[Date],0))),(VLOOKUP(VLOOKUP(WEEKDAY(DATE($A$2,INT((COLUMN()-1)/31.001)+$A$1,ROUNDUP(MOD(COLUMN()-1,31.001),0)),2),Sheet3!$D$1:$E$7,2,0),$NW$21:$NX$35,2,0)="Yes"))</f>
        <v>1</v>
      </c>
      <c r="JM3" s="13" t="b">
        <f>AND(NOT(ISNUMBER(MATCH(DATE($A$2,INT((COLUMN()-1)/31.001)+$A$1,ROUNDUP(MOD(COLUMN()-1,31.001),0)),HolidayList[Date],0))),(VLOOKUP(VLOOKUP(WEEKDAY(DATE($A$2,INT((COLUMN()-1)/31.001)+$A$1,ROUNDUP(MOD(COLUMN()-1,31.001),0)),2),Sheet3!$D$1:$E$7,2,0),$NW$21:$NX$35,2,0)="Yes"))</f>
        <v>1</v>
      </c>
      <c r="JN3" s="13" t="b">
        <f>AND(NOT(ISNUMBER(MATCH(DATE($A$2,INT((COLUMN()-1)/31.001)+$A$1,ROUNDUP(MOD(COLUMN()-1,31.001),0)),HolidayList[Date],0))),(VLOOKUP(VLOOKUP(WEEKDAY(DATE($A$2,INT((COLUMN()-1)/31.001)+$A$1,ROUNDUP(MOD(COLUMN()-1,31.001),0)),2),Sheet3!$D$1:$E$7,2,0),$NW$21:$NX$35,2,0)="Yes"))</f>
        <v>1</v>
      </c>
      <c r="JO3" s="13" t="b">
        <f>AND(NOT(ISNUMBER(MATCH(DATE($A$2,INT((COLUMN()-1)/31.001)+$A$1,ROUNDUP(MOD(COLUMN()-1,31.001),0)),HolidayList[Date],0))),(VLOOKUP(VLOOKUP(WEEKDAY(DATE($A$2,INT((COLUMN()-1)/31.001)+$A$1,ROUNDUP(MOD(COLUMN()-1,31.001),0)),2),Sheet3!$D$1:$E$7,2,0),$NW$21:$NX$35,2,0)="Yes"))</f>
        <v>1</v>
      </c>
      <c r="JP3" s="13" t="b">
        <f>AND(NOT(ISNUMBER(MATCH(DATE($A$2,INT((COLUMN()-1)/31.001)+$A$1,ROUNDUP(MOD(COLUMN()-1,31.001),0)),HolidayList[Date],0))),(VLOOKUP(VLOOKUP(WEEKDAY(DATE($A$2,INT((COLUMN()-1)/31.001)+$A$1,ROUNDUP(MOD(COLUMN()-1,31.001),0)),2),Sheet3!$D$1:$E$7,2,0),$NW$21:$NX$35,2,0)="Yes"))</f>
        <v>0</v>
      </c>
      <c r="JQ3" s="13" t="b">
        <f>AND(NOT(ISNUMBER(MATCH(DATE($A$2,INT((COLUMN()-1)/31.001)+$A$1,ROUNDUP(MOD(COLUMN()-1,31.001),0)),HolidayList[Date],0))),(VLOOKUP(VLOOKUP(WEEKDAY(DATE($A$2,INT((COLUMN()-1)/31.001)+$A$1,ROUNDUP(MOD(COLUMN()-1,31.001),0)),2),Sheet3!$D$1:$E$7,2,0),$NW$21:$NX$35,2,0)="Yes"))</f>
        <v>0</v>
      </c>
      <c r="JR3" s="13" t="b">
        <f>AND(NOT(ISNUMBER(MATCH(DATE($A$2,INT((COLUMN()-1)/31.001)+$A$1,ROUNDUP(MOD(COLUMN()-1,31.001),0)),HolidayList[Date],0))),(VLOOKUP(VLOOKUP(WEEKDAY(DATE($A$2,INT((COLUMN()-1)/31.001)+$A$1,ROUNDUP(MOD(COLUMN()-1,31.001),0)),2),Sheet3!$D$1:$E$7,2,0),$NW$21:$NX$35,2,0)="Yes"))</f>
        <v>1</v>
      </c>
      <c r="JS3" s="13" t="b">
        <f>AND(NOT(ISNUMBER(MATCH(DATE($A$2,INT((COLUMN()-1)/31.001)+$A$1,ROUNDUP(MOD(COLUMN()-1,31.001),0)),HolidayList[Date],0))),(VLOOKUP(VLOOKUP(WEEKDAY(DATE($A$2,INT((COLUMN()-1)/31.001)+$A$1,ROUNDUP(MOD(COLUMN()-1,31.001),0)),2),Sheet3!$D$1:$E$7,2,0),$NW$21:$NX$35,2,0)="Yes"))</f>
        <v>1</v>
      </c>
      <c r="JT3" s="13" t="b">
        <f>AND(NOT(ISNUMBER(MATCH(DATE($A$2,INT((COLUMN()-1)/31.001)+$A$1,ROUNDUP(MOD(COLUMN()-1,31.001),0)),HolidayList[Date],0))),(VLOOKUP(VLOOKUP(WEEKDAY(DATE($A$2,INT((COLUMN()-1)/31.001)+$A$1,ROUNDUP(MOD(COLUMN()-1,31.001),0)),2),Sheet3!$D$1:$E$7,2,0),$NW$21:$NX$35,2,0)="Yes"))</f>
        <v>1</v>
      </c>
      <c r="JU3" s="13" t="b">
        <f>AND(NOT(ISNUMBER(MATCH(DATE($A$2,INT((COLUMN()-1)/31.001)+$A$1,ROUNDUP(MOD(COLUMN()-1,31.001),0)),HolidayList[Date],0))),(VLOOKUP(VLOOKUP(WEEKDAY(DATE($A$2,INT((COLUMN()-1)/31.001)+$A$1,ROUNDUP(MOD(COLUMN()-1,31.001),0)),2),Sheet3!$D$1:$E$7,2,0),$NW$21:$NX$35,2,0)="Yes"))</f>
        <v>1</v>
      </c>
      <c r="JV3" s="13" t="b">
        <f>AND(NOT(ISNUMBER(MATCH(DATE($A$2,INT((COLUMN()-1)/31.001)+$A$1,ROUNDUP(MOD(COLUMN()-1,31.001),0)),HolidayList[Date],0))),(VLOOKUP(VLOOKUP(WEEKDAY(DATE($A$2,INT((COLUMN()-1)/31.001)+$A$1,ROUNDUP(MOD(COLUMN()-1,31.001),0)),2),Sheet3!$D$1:$E$7,2,0),$NW$21:$NX$35,2,0)="Yes"))</f>
        <v>1</v>
      </c>
      <c r="JW3" s="13" t="b">
        <f>AND(NOT(ISNUMBER(MATCH(DATE($A$2,INT((COLUMN()-1)/31.001)+$A$1,ROUNDUP(MOD(COLUMN()-1,31.001),0)),HolidayList[Date],0))),(VLOOKUP(VLOOKUP(WEEKDAY(DATE($A$2,INT((COLUMN()-1)/31.001)+$A$1,ROUNDUP(MOD(COLUMN()-1,31.001),0)),2),Sheet3!$D$1:$E$7,2,0),$NW$21:$NX$35,2,0)="Yes"))</f>
        <v>1</v>
      </c>
      <c r="JX3" s="13" t="b">
        <f>AND(NOT(ISNUMBER(MATCH(DATE($A$2,INT((COLUMN()-1)/31.001)+$A$1,ROUNDUP(MOD(COLUMN()-1,31.001),0)),HolidayList[Date],0))),(VLOOKUP(VLOOKUP(WEEKDAY(DATE($A$2,INT((COLUMN()-1)/31.001)+$A$1,ROUNDUP(MOD(COLUMN()-1,31.001),0)),2),Sheet3!$D$1:$E$7,2,0),$NW$21:$NX$35,2,0)="Yes"))</f>
        <v>0</v>
      </c>
      <c r="JY3" s="13" t="b">
        <f>AND(NOT(ISNUMBER(MATCH(DATE($A$2,INT((COLUMN()-1)/31.001)+$A$1,ROUNDUP(MOD(COLUMN()-1,31.001),0)),HolidayList[Date],0))),(VLOOKUP(VLOOKUP(WEEKDAY(DATE($A$2,INT((COLUMN()-1)/31.001)+$A$1,ROUNDUP(MOD(COLUMN()-1,31.001),0)),2),Sheet3!$D$1:$E$7,2,0),$NW$21:$NX$35,2,0)="Yes"))</f>
        <v>0</v>
      </c>
      <c r="JZ3" s="13" t="b">
        <f>AND(NOT(ISNUMBER(MATCH(DATE($A$2,INT((COLUMN()-1)/31.001)+$A$1,ROUNDUP(MOD(COLUMN()-1,31.001),0)),HolidayList[Date],0))),(VLOOKUP(VLOOKUP(WEEKDAY(DATE($A$2,INT((COLUMN()-1)/31.001)+$A$1,ROUNDUP(MOD(COLUMN()-1,31.001),0)),2),Sheet3!$D$1:$E$7,2,0),$NW$21:$NX$35,2,0)="Yes"))</f>
        <v>1</v>
      </c>
      <c r="KA3" s="13" t="b">
        <f>AND(NOT(ISNUMBER(MATCH(DATE($A$2,INT((COLUMN()-1)/31.001)+$A$1,ROUNDUP(MOD(COLUMN()-1,31.001),0)),HolidayList[Date],0))),(VLOOKUP(VLOOKUP(WEEKDAY(DATE($A$2,INT((COLUMN()-1)/31.001)+$A$1,ROUNDUP(MOD(COLUMN()-1,31.001),0)),2),Sheet3!$D$1:$E$7,2,0),$NW$21:$NX$35,2,0)="Yes"))</f>
        <v>1</v>
      </c>
      <c r="KB3" s="13" t="b">
        <f>AND(NOT(ISNUMBER(MATCH(DATE($A$2,INT((COLUMN()-1)/31.001)+$A$1,ROUNDUP(MOD(COLUMN()-1,31.001),0)),HolidayList[Date],0))),(VLOOKUP(VLOOKUP(WEEKDAY(DATE($A$2,INT((COLUMN()-1)/31.001)+$A$1,ROUNDUP(MOD(COLUMN()-1,31.001),0)),2),Sheet3!$D$1:$E$7,2,0),$NW$21:$NX$35,2,0)="Yes"))</f>
        <v>1</v>
      </c>
      <c r="KC3" s="13" t="b">
        <f>AND(NOT(ISNUMBER(MATCH(DATE($A$2,INT((COLUMN()-1)/31.001)+$A$1,ROUNDUP(MOD(COLUMN()-1,31.001),0)),HolidayList[Date],0))),(VLOOKUP(VLOOKUP(WEEKDAY(DATE($A$2,INT((COLUMN()-1)/31.001)+$A$1,ROUNDUP(MOD(COLUMN()-1,31.001),0)),2),Sheet3!$D$1:$E$7,2,0),$NW$21:$NX$35,2,0)="Yes"))</f>
        <v>1</v>
      </c>
      <c r="KD3" s="13" t="b">
        <f>AND(NOT(ISNUMBER(MATCH(DATE($A$2,INT((COLUMN()-1)/31.001)+$A$1,ROUNDUP(MOD(COLUMN()-1,31.001),0)),HolidayList[Date],0))),(VLOOKUP(VLOOKUP(WEEKDAY(DATE($A$2,INT((COLUMN()-1)/31.001)+$A$1,ROUNDUP(MOD(COLUMN()-1,31.001),0)),2),Sheet3!$D$1:$E$7,2,0),$NW$21:$NX$35,2,0)="Yes"))</f>
        <v>1</v>
      </c>
      <c r="KE3" s="13" t="b">
        <f>AND(NOT(ISNUMBER(MATCH(DATE($A$2,INT((COLUMN()-1)/31.001)+$A$1,ROUNDUP(MOD(COLUMN()-1,31.001),0)),HolidayList[Date],0))),(VLOOKUP(VLOOKUP(WEEKDAY(DATE($A$2,INT((COLUMN()-1)/31.001)+$A$1,ROUNDUP(MOD(COLUMN()-1,31.001),0)),2),Sheet3!$D$1:$E$7,2,0),$NW$21:$NX$35,2,0)="Yes"))</f>
        <v>0</v>
      </c>
      <c r="KF3" s="13" t="b">
        <f>AND(NOT(ISNUMBER(MATCH(DATE($A$2,INT((COLUMN()-1)/31.001)+$A$1,ROUNDUP(MOD(COLUMN()-1,31.001),0)),HolidayList[Date],0))),(VLOOKUP(VLOOKUP(WEEKDAY(DATE($A$2,INT((COLUMN()-1)/31.001)+$A$1,ROUNDUP(MOD(COLUMN()-1,31.001),0)),2),Sheet3!$D$1:$E$7,2,0),$NW$21:$NX$35,2,0)="Yes"))</f>
        <v>0</v>
      </c>
      <c r="KG3" s="13" t="b">
        <f>AND(NOT(ISNUMBER(MATCH(DATE($A$2,INT((COLUMN()-1)/31.001)+$A$1,ROUNDUP(MOD(COLUMN()-1,31.001),0)),HolidayList[Date],0))),(VLOOKUP(VLOOKUP(WEEKDAY(DATE($A$2,INT((COLUMN()-1)/31.001)+$A$1,ROUNDUP(MOD(COLUMN()-1,31.001),0)),2),Sheet3!$D$1:$E$7,2,0),$NW$21:$NX$35,2,0)="Yes"))</f>
        <v>1</v>
      </c>
      <c r="KH3" s="13" t="b">
        <f>AND(NOT(ISNUMBER(MATCH(DATE($A$2,INT((COLUMN()-1)/31.001)+$A$1,ROUNDUP(MOD(COLUMN()-1,31.001),0)),HolidayList[Date],0))),(VLOOKUP(VLOOKUP(WEEKDAY(DATE($A$2,INT((COLUMN()-1)/31.001)+$A$1,ROUNDUP(MOD(COLUMN()-1,31.001),0)),2),Sheet3!$D$1:$E$7,2,0),$NW$21:$NX$35,2,0)="Yes"))</f>
        <v>1</v>
      </c>
      <c r="KI3" s="13" t="b">
        <f>AND(NOT(ISNUMBER(MATCH(DATE($A$2,INT((COLUMN()-1)/31.001)+$A$1,ROUNDUP(MOD(COLUMN()-1,31.001),0)),HolidayList[Date],0))),(VLOOKUP(VLOOKUP(WEEKDAY(DATE($A$2,INT((COLUMN()-1)/31.001)+$A$1,ROUNDUP(MOD(COLUMN()-1,31.001),0)),2),Sheet3!$D$1:$E$7,2,0),$NW$21:$NX$35,2,0)="Yes"))</f>
        <v>1</v>
      </c>
      <c r="KJ3" s="13" t="b">
        <f>AND(NOT(ISNUMBER(MATCH(DATE($A$2,INT((COLUMN()-1)/31.001)+$A$1,ROUNDUP(MOD(COLUMN()-1,31.001),0)),HolidayList[Date],0))),(VLOOKUP(VLOOKUP(WEEKDAY(DATE($A$2,INT((COLUMN()-1)/31.001)+$A$1,ROUNDUP(MOD(COLUMN()-1,31.001),0)),2),Sheet3!$D$1:$E$7,2,0),$NW$21:$NX$35,2,0)="Yes"))</f>
        <v>1</v>
      </c>
      <c r="KK3" s="13" t="b">
        <f>AND(NOT(ISNUMBER(MATCH(DATE($A$2,INT((COLUMN()-1)/31.001)+$A$1,ROUNDUP(MOD(COLUMN()-1,31.001),0)),HolidayList[Date],0))),(VLOOKUP(VLOOKUP(WEEKDAY(DATE($A$2,INT((COLUMN()-1)/31.001)+$A$1,ROUNDUP(MOD(COLUMN()-1,31.001),0)),2),Sheet3!$D$1:$E$7,2,0),$NW$21:$NX$35,2,0)="Yes"))</f>
        <v>1</v>
      </c>
      <c r="KL3" s="13" t="b">
        <f>AND(NOT(ISNUMBER(MATCH(DATE($A$2,INT((COLUMN()-1)/31.001)+$A$1,ROUNDUP(MOD(COLUMN()-1,31.001),0)),HolidayList[Date],0))),(VLOOKUP(VLOOKUP(WEEKDAY(DATE($A$2,INT((COLUMN()-1)/31.001)+$A$1,ROUNDUP(MOD(COLUMN()-1,31.001),0)),2),Sheet3!$D$1:$E$7,2,0),$NW$21:$NX$35,2,0)="Yes"))</f>
        <v>0</v>
      </c>
      <c r="KM3" s="13" t="b">
        <f>AND(NOT(ISNUMBER(MATCH(DATE($A$2,INT((COLUMN()-1)/31.001)+$A$1,ROUNDUP(MOD(COLUMN()-1,31.001),0)),HolidayList[Date],0))),(VLOOKUP(VLOOKUP(WEEKDAY(DATE($A$2,INT((COLUMN()-1)/31.001)+$A$1,ROUNDUP(MOD(COLUMN()-1,31.001),0)),2),Sheet3!$D$1:$E$7,2,0),$NW$21:$NX$35,2,0)="Yes"))</f>
        <v>0</v>
      </c>
      <c r="KN3" s="13" t="b">
        <f>AND(NOT(ISNUMBER(MATCH(DATE($A$2,INT((COLUMN()-1)/31.001)+$A$1,ROUNDUP(MOD(COLUMN()-1,31.001),0)),HolidayList[Date],0))),(VLOOKUP(VLOOKUP(WEEKDAY(DATE($A$2,INT((COLUMN()-1)/31.001)+$A$1,ROUNDUP(MOD(COLUMN()-1,31.001),0)),2),Sheet3!$D$1:$E$7,2,0),$NW$21:$NX$35,2,0)="Yes"))</f>
        <v>1</v>
      </c>
      <c r="KO3" s="13" t="b">
        <f>AND(NOT(ISNUMBER(MATCH(DATE($A$2,INT((COLUMN()-1)/31.001)+$A$1,ROUNDUP(MOD(COLUMN()-1,31.001),0)),HolidayList[Date],0))),(VLOOKUP(VLOOKUP(WEEKDAY(DATE($A$2,INT((COLUMN()-1)/31.001)+$A$1,ROUNDUP(MOD(COLUMN()-1,31.001),0)),2),Sheet3!$D$1:$E$7,2,0),$NW$21:$NX$35,2,0)="Yes"))</f>
        <v>1</v>
      </c>
      <c r="KP3" s="13" t="b">
        <f>AND(NOT(ISNUMBER(MATCH(DATE($A$2,INT((COLUMN()-1)/31.001)+$A$1,ROUNDUP(MOD(COLUMN()-1,31.001),0)),HolidayList[Date],0))),(VLOOKUP(VLOOKUP(WEEKDAY(DATE($A$2,INT((COLUMN()-1)/31.001)+$A$1,ROUNDUP(MOD(COLUMN()-1,31.001),0)),2),Sheet3!$D$1:$E$7,2,0),$NW$21:$NX$35,2,0)="Yes"))</f>
        <v>1</v>
      </c>
      <c r="KQ3" s="13" t="b">
        <f>AND(NOT(ISNUMBER(MATCH(DATE($A$2,INT((COLUMN()-1)/31.001)+$A$1,ROUNDUP(MOD(COLUMN()-1,31.001),0)),HolidayList[Date],0))),(VLOOKUP(VLOOKUP(WEEKDAY(DATE($A$2,INT((COLUMN()-1)/31.001)+$A$1,ROUNDUP(MOD(COLUMN()-1,31.001),0)),2),Sheet3!$D$1:$E$7,2,0),$NW$21:$NX$35,2,0)="Yes"))</f>
        <v>1</v>
      </c>
      <c r="KR3" s="13" t="b">
        <f>AND(NOT(ISNUMBER(MATCH(DATE($A$2,INT((COLUMN()-1)/31.001)+$A$1,ROUNDUP(MOD(COLUMN()-1,31.001),0)),HolidayList[Date],0))),(VLOOKUP(VLOOKUP(WEEKDAY(DATE($A$2,INT((COLUMN()-1)/31.001)+$A$1,ROUNDUP(MOD(COLUMN()-1,31.001),0)),2),Sheet3!$D$1:$E$7,2,0),$NW$21:$NX$35,2,0)="Yes"))</f>
        <v>1</v>
      </c>
      <c r="KS3" s="13" t="b">
        <f>AND(NOT(ISNUMBER(MATCH(DATE($A$2,INT((COLUMN()-1)/31.001)+$A$1,ROUNDUP(MOD(COLUMN()-1,31.001),0)),HolidayList[Date],0))),(VLOOKUP(VLOOKUP(WEEKDAY(DATE($A$2,INT((COLUMN()-1)/31.001)+$A$1,ROUNDUP(MOD(COLUMN()-1,31.001),0)),2),Sheet3!$D$1:$E$7,2,0),$NW$21:$NX$35,2,0)="Yes"))</f>
        <v>0</v>
      </c>
      <c r="KT3" s="13" t="b">
        <f>AND(NOT(ISNUMBER(MATCH(DATE($A$2,INT((COLUMN()-1)/31.001)+$A$1,ROUNDUP(MOD(COLUMN()-1,31.001),0)),HolidayList[Date],0))),(VLOOKUP(VLOOKUP(WEEKDAY(DATE($A$2,INT((COLUMN()-1)/31.001)+$A$1,ROUNDUP(MOD(COLUMN()-1,31.001),0)),2),Sheet3!$D$1:$E$7,2,0),$NW$21:$NX$35,2,0)="Yes"))</f>
        <v>0</v>
      </c>
      <c r="KU3" s="13" t="b">
        <f>AND(NOT(ISNUMBER(MATCH(DATE($A$2,INT((COLUMN()-1)/31.001)+$A$1,ROUNDUP(MOD(COLUMN()-1,31.001),0)),HolidayList[Date],0))),(VLOOKUP(VLOOKUP(WEEKDAY(DATE($A$2,INT((COLUMN()-1)/31.001)+$A$1,ROUNDUP(MOD(COLUMN()-1,31.001),0)),2),Sheet3!$D$1:$E$7,2,0),$NW$21:$NX$35,2,0)="Yes"))</f>
        <v>1</v>
      </c>
      <c r="KV3" s="13" t="b">
        <f>AND(NOT(ISNUMBER(MATCH(DATE($A$2,INT((COLUMN()-1)/31.001)+$A$1,ROUNDUP(MOD(COLUMN()-1,31.001),0)),HolidayList[Date],0))),(VLOOKUP(VLOOKUP(WEEKDAY(DATE($A$2,INT((COLUMN()-1)/31.001)+$A$1,ROUNDUP(MOD(COLUMN()-1,31.001),0)),2),Sheet3!$D$1:$E$7,2,0),$NW$21:$NX$35,2,0)="Yes"))</f>
        <v>1</v>
      </c>
      <c r="KW3" s="13" t="b">
        <f>AND(NOT(ISNUMBER(MATCH(DATE($A$2,INT((COLUMN()-1)/31.001)+$A$1,ROUNDUP(MOD(COLUMN()-1,31.001),0)),HolidayList[Date],0))),(VLOOKUP(VLOOKUP(WEEKDAY(DATE($A$2,INT((COLUMN()-1)/31.001)+$A$1,ROUNDUP(MOD(COLUMN()-1,31.001),0)),2),Sheet3!$D$1:$E$7,2,0),$NW$21:$NX$35,2,0)="Yes"))</f>
        <v>1</v>
      </c>
      <c r="KX3" s="13" t="b">
        <f>AND(NOT(ISNUMBER(MATCH(DATE($A$2,INT((COLUMN()-1)/31.001)+$A$1,ROUNDUP(MOD(COLUMN()-1,31.001),0)),HolidayList[Date],0))),(VLOOKUP(VLOOKUP(WEEKDAY(DATE($A$2,INT((COLUMN()-1)/31.001)+$A$1,ROUNDUP(MOD(COLUMN()-1,31.001),0)),2),Sheet3!$D$1:$E$7,2,0),$NW$21:$NX$35,2,0)="Yes"))</f>
        <v>1</v>
      </c>
      <c r="KY3" s="13" t="b">
        <f>AND(NOT(ISNUMBER(MATCH(DATE($A$2,INT((COLUMN()-1)/31.001)+$A$1,ROUNDUP(MOD(COLUMN()-1,31.001),0)),HolidayList[Date],0))),(VLOOKUP(VLOOKUP(WEEKDAY(DATE($A$2,INT((COLUMN()-1)/31.001)+$A$1,ROUNDUP(MOD(COLUMN()-1,31.001),0)),2),Sheet3!$D$1:$E$7,2,0),$NW$21:$NX$35,2,0)="Yes"))</f>
        <v>1</v>
      </c>
      <c r="KZ3" s="13" t="b">
        <f>AND(NOT(ISNUMBER(MATCH(DATE($A$2,INT((COLUMN()-1)/31.001)+$A$1,ROUNDUP(MOD(COLUMN()-1,31.001),0)),HolidayList[Date],0))),(VLOOKUP(VLOOKUP(WEEKDAY(DATE($A$2,INT((COLUMN()-1)/31.001)+$A$1,ROUNDUP(MOD(COLUMN()-1,31.001),0)),2),Sheet3!$D$1:$E$7,2,0),$NW$21:$NX$35,2,0)="Yes"))</f>
        <v>0</v>
      </c>
      <c r="LA3" s="13" t="b">
        <f>AND(NOT(ISNUMBER(MATCH(DATE($A$2,INT((COLUMN()-1)/31.001)+$A$1,ROUNDUP(MOD(COLUMN()-1,31.001),0)),HolidayList[Date],0))),(VLOOKUP(VLOOKUP(WEEKDAY(DATE($A$2,INT((COLUMN()-1)/31.001)+$A$1,ROUNDUP(MOD(COLUMN()-1,31.001),0)),2),Sheet3!$D$1:$E$7,2,0),$NW$21:$NX$35,2,0)="Yes"))</f>
        <v>0</v>
      </c>
      <c r="LB3" s="13" t="b">
        <f>AND(NOT(ISNUMBER(MATCH(DATE($A$2,INT((COLUMN()-1)/31.001)+$A$1,ROUNDUP(MOD(COLUMN()-1,31.001),0)),HolidayList[Date],0))),(VLOOKUP(VLOOKUP(WEEKDAY(DATE($A$2,INT((COLUMN()-1)/31.001)+$A$1,ROUNDUP(MOD(COLUMN()-1,31.001),0)),2),Sheet3!$D$1:$E$7,2,0),$NW$21:$NX$35,2,0)="Yes"))</f>
        <v>1</v>
      </c>
      <c r="LC3" s="13" t="b">
        <f>AND(NOT(ISNUMBER(MATCH(DATE($A$2,INT((COLUMN()-1)/31.001)+$A$1,ROUNDUP(MOD(COLUMN()-1,31.001),0)),HolidayList[Date],0))),(VLOOKUP(VLOOKUP(WEEKDAY(DATE($A$2,INT((COLUMN()-1)/31.001)+$A$1,ROUNDUP(MOD(COLUMN()-1,31.001),0)),2),Sheet3!$D$1:$E$7,2,0),$NW$21:$NX$35,2,0)="Yes"))</f>
        <v>1</v>
      </c>
      <c r="LD3" s="13" t="b">
        <f>AND(NOT(ISNUMBER(MATCH(DATE($A$2,INT((COLUMN()-1)/31.001)+$A$1,ROUNDUP(MOD(COLUMN()-1,31.001),0)),HolidayList[Date],0))),(VLOOKUP(VLOOKUP(WEEKDAY(DATE($A$2,INT((COLUMN()-1)/31.001)+$A$1,ROUNDUP(MOD(COLUMN()-1,31.001),0)),2),Sheet3!$D$1:$E$7,2,0),$NW$21:$NX$35,2,0)="Yes"))</f>
        <v>1</v>
      </c>
      <c r="LE3" s="13" t="b">
        <f>AND(NOT(ISNUMBER(MATCH(DATE($A$2,INT((COLUMN()-1)/31.001)+$A$1,ROUNDUP(MOD(COLUMN()-1,31.001),0)),HolidayList[Date],0))),(VLOOKUP(VLOOKUP(WEEKDAY(DATE($A$2,INT((COLUMN()-1)/31.001)+$A$1,ROUNDUP(MOD(COLUMN()-1,31.001),0)),2),Sheet3!$D$1:$E$7,2,0),$NW$21:$NX$35,2,0)="Yes"))</f>
        <v>1</v>
      </c>
      <c r="LF3" s="13" t="b">
        <f>AND(NOT(ISNUMBER(MATCH(DATE($A$2,INT((COLUMN()-1)/31.001)+$A$1,ROUNDUP(MOD(COLUMN()-1,31.001),0)),HolidayList[Date],0))),(VLOOKUP(VLOOKUP(WEEKDAY(DATE($A$2,INT((COLUMN()-1)/31.001)+$A$1,ROUNDUP(MOD(COLUMN()-1,31.001),0)),2),Sheet3!$D$1:$E$7,2,0),$NW$21:$NX$35,2,0)="Yes"))</f>
        <v>1</v>
      </c>
      <c r="LG3" s="13" t="b">
        <f>AND(NOT(ISNUMBER(MATCH(DATE($A$2,INT((COLUMN()-1)/31.001)+$A$1,ROUNDUP(MOD(COLUMN()-1,31.001),0)),HolidayList[Date],0))),(VLOOKUP(VLOOKUP(WEEKDAY(DATE($A$2,INT((COLUMN()-1)/31.001)+$A$1,ROUNDUP(MOD(COLUMN()-1,31.001),0)),2),Sheet3!$D$1:$E$7,2,0),$NW$21:$NX$35,2,0)="Yes"))</f>
        <v>0</v>
      </c>
      <c r="LH3" s="13" t="b">
        <f>AND(NOT(ISNUMBER(MATCH(DATE($A$2,INT((COLUMN()-1)/31.001)+$A$1,ROUNDUP(MOD(COLUMN()-1,31.001),0)),HolidayList[Date],0))),(VLOOKUP(VLOOKUP(WEEKDAY(DATE($A$2,INT((COLUMN()-1)/31.001)+$A$1,ROUNDUP(MOD(COLUMN()-1,31.001),0)),2),Sheet3!$D$1:$E$7,2,0),$NW$21:$NX$35,2,0)="Yes"))</f>
        <v>0</v>
      </c>
      <c r="LI3" s="13" t="b">
        <f>AND(NOT(ISNUMBER(MATCH(DATE($A$2,INT((COLUMN()-1)/31.001)+$A$1,ROUNDUP(MOD(COLUMN()-1,31.001),0)),HolidayList[Date],0))),(VLOOKUP(VLOOKUP(WEEKDAY(DATE($A$2,INT((COLUMN()-1)/31.001)+$A$1,ROUNDUP(MOD(COLUMN()-1,31.001),0)),2),Sheet3!$D$1:$E$7,2,0),$NW$21:$NX$35,2,0)="Yes"))</f>
        <v>1</v>
      </c>
      <c r="LJ3" s="13" t="b">
        <f>AND(NOT(ISNUMBER(MATCH(DATE($A$2,INT((COLUMN()-1)/31.001)+$A$1,ROUNDUP(MOD(COLUMN()-1,31.001),0)),HolidayList[Date],0))),(VLOOKUP(VLOOKUP(WEEKDAY(DATE($A$2,INT((COLUMN()-1)/31.001)+$A$1,ROUNDUP(MOD(COLUMN()-1,31.001),0)),2),Sheet3!$D$1:$E$7,2,0),$NW$21:$NX$35,2,0)="Yes"))</f>
        <v>1</v>
      </c>
      <c r="LK3" s="13" t="b">
        <f>AND(NOT(ISNUMBER(MATCH(DATE($A$2,INT((COLUMN()-1)/31.001)+$A$1,ROUNDUP(MOD(COLUMN()-1,31.001),0)),HolidayList[Date],0))),(VLOOKUP(VLOOKUP(WEEKDAY(DATE($A$2,INT((COLUMN()-1)/31.001)+$A$1,ROUNDUP(MOD(COLUMN()-1,31.001),0)),2),Sheet3!$D$1:$E$7,2,0),$NW$21:$NX$35,2,0)="Yes"))</f>
        <v>1</v>
      </c>
      <c r="LL3" s="13" t="b">
        <f>AND(NOT(ISNUMBER(MATCH(DATE($A$2,INT((COLUMN()-1)/31.001)+$A$1,ROUNDUP(MOD(COLUMN()-1,31.001),0)),HolidayList[Date],0))),(VLOOKUP(VLOOKUP(WEEKDAY(DATE($A$2,INT((COLUMN()-1)/31.001)+$A$1,ROUNDUP(MOD(COLUMN()-1,31.001),0)),2),Sheet3!$D$1:$E$7,2,0),$NW$21:$NX$35,2,0)="Yes"))</f>
        <v>1</v>
      </c>
      <c r="LM3" s="13" t="b">
        <f>AND(NOT(ISNUMBER(MATCH(DATE($A$2,INT((COLUMN()-1)/31.001)+$A$1,ROUNDUP(MOD(COLUMN()-1,31.001),0)),HolidayList[Date],0))),(VLOOKUP(VLOOKUP(WEEKDAY(DATE($A$2,INT((COLUMN()-1)/31.001)+$A$1,ROUNDUP(MOD(COLUMN()-1,31.001),0)),2),Sheet3!$D$1:$E$7,2,0),$NW$21:$NX$35,2,0)="Yes"))</f>
        <v>1</v>
      </c>
      <c r="LN3" s="13" t="b">
        <f>AND(NOT(ISNUMBER(MATCH(DATE($A$2,INT((COLUMN()-1)/31.001)+$A$1,ROUNDUP(MOD(COLUMN()-1,31.001),0)),HolidayList[Date],0))),(VLOOKUP(VLOOKUP(WEEKDAY(DATE($A$2,INT((COLUMN()-1)/31.001)+$A$1,ROUNDUP(MOD(COLUMN()-1,31.001),0)),2),Sheet3!$D$1:$E$7,2,0),$NW$21:$NX$35,2,0)="Yes"))</f>
        <v>0</v>
      </c>
      <c r="LO3" s="13" t="b">
        <f>AND(NOT(ISNUMBER(MATCH(DATE($A$2,INT((COLUMN()-1)/31.001)+$A$1,ROUNDUP(MOD(COLUMN()-1,31.001),0)),HolidayList[Date],0))),(VLOOKUP(VLOOKUP(WEEKDAY(DATE($A$2,INT((COLUMN()-1)/31.001)+$A$1,ROUNDUP(MOD(COLUMN()-1,31.001),0)),2),Sheet3!$D$1:$E$7,2,0),$NW$21:$NX$35,2,0)="Yes"))</f>
        <v>0</v>
      </c>
      <c r="LP3" s="13" t="b">
        <f>AND(NOT(ISNUMBER(MATCH(DATE($A$2,INT((COLUMN()-1)/31.001)+$A$1,ROUNDUP(MOD(COLUMN()-1,31.001),0)),HolidayList[Date],0))),(VLOOKUP(VLOOKUP(WEEKDAY(DATE($A$2,INT((COLUMN()-1)/31.001)+$A$1,ROUNDUP(MOD(COLUMN()-1,31.001),0)),2),Sheet3!$D$1:$E$7,2,0),$NW$21:$NX$35,2,0)="Yes"))</f>
        <v>1</v>
      </c>
      <c r="LQ3" s="13" t="b">
        <f>AND(NOT(ISNUMBER(MATCH(DATE($A$2,INT((COLUMN()-1)/31.001)+$A$1,ROUNDUP(MOD(COLUMN()-1,31.001),0)),HolidayList[Date],0))),(VLOOKUP(VLOOKUP(WEEKDAY(DATE($A$2,INT((COLUMN()-1)/31.001)+$A$1,ROUNDUP(MOD(COLUMN()-1,31.001),0)),2),Sheet3!$D$1:$E$7,2,0),$NW$21:$NX$35,2,0)="Yes"))</f>
        <v>1</v>
      </c>
      <c r="LR3" s="13" t="b">
        <f>AND(NOT(ISNUMBER(MATCH(DATE($A$2,INT((COLUMN()-1)/31.001)+$A$1,ROUNDUP(MOD(COLUMN()-1,31.001),0)),HolidayList[Date],0))),(VLOOKUP(VLOOKUP(WEEKDAY(DATE($A$2,INT((COLUMN()-1)/31.001)+$A$1,ROUNDUP(MOD(COLUMN()-1,31.001),0)),2),Sheet3!$D$1:$E$7,2,0),$NW$21:$NX$35,2,0)="Yes"))</f>
        <v>1</v>
      </c>
      <c r="LS3" s="13" t="b">
        <f>AND(NOT(ISNUMBER(MATCH(DATE($A$2,INT((COLUMN()-1)/31.001)+$A$1,ROUNDUP(MOD(COLUMN()-1,31.001),0)),HolidayList[Date],0))),(VLOOKUP(VLOOKUP(WEEKDAY(DATE($A$2,INT((COLUMN()-1)/31.001)+$A$1,ROUNDUP(MOD(COLUMN()-1,31.001),0)),2),Sheet3!$D$1:$E$7,2,0),$NW$21:$NX$35,2,0)="Yes"))</f>
        <v>1</v>
      </c>
      <c r="LT3" s="13" t="b">
        <f>AND(NOT(ISNUMBER(MATCH(DATE($A$2,INT((COLUMN()-1)/31.001)+$A$1,ROUNDUP(MOD(COLUMN()-1,31.001),0)),HolidayList[Date],0))),(VLOOKUP(VLOOKUP(WEEKDAY(DATE($A$2,INT((COLUMN()-1)/31.001)+$A$1,ROUNDUP(MOD(COLUMN()-1,31.001),0)),2),Sheet3!$D$1:$E$7,2,0),$NW$21:$NX$35,2,0)="Yes"))</f>
        <v>1</v>
      </c>
      <c r="LU3" s="13" t="b">
        <f>AND(NOT(ISNUMBER(MATCH(DATE($A$2,INT((COLUMN()-1)/31.001)+$A$1,ROUNDUP(MOD(COLUMN()-1,31.001),0)),HolidayList[Date],0))),(VLOOKUP(VLOOKUP(WEEKDAY(DATE($A$2,INT((COLUMN()-1)/31.001)+$A$1,ROUNDUP(MOD(COLUMN()-1,31.001),0)),2),Sheet3!$D$1:$E$7,2,0),$NW$21:$NX$35,2,0)="Yes"))</f>
        <v>0</v>
      </c>
      <c r="LV3" s="13" t="b">
        <f>AND(NOT(ISNUMBER(MATCH(DATE($A$2,INT((COLUMN()-1)/31.001)+$A$1,ROUNDUP(MOD(COLUMN()-1,31.001),0)),HolidayList[Date],0))),(VLOOKUP(VLOOKUP(WEEKDAY(DATE($A$2,INT((COLUMN()-1)/31.001)+$A$1,ROUNDUP(MOD(COLUMN()-1,31.001),0)),2),Sheet3!$D$1:$E$7,2,0),$NW$21:$NX$35,2,0)="Yes"))</f>
        <v>0</v>
      </c>
      <c r="LW3" s="13" t="b">
        <f>AND(NOT(ISNUMBER(MATCH(DATE($A$2,INT((COLUMN()-1)/31.001)+$A$1,ROUNDUP(MOD(COLUMN()-1,31.001),0)),HolidayList[Date],0))),(VLOOKUP(VLOOKUP(WEEKDAY(DATE($A$2,INT((COLUMN()-1)/31.001)+$A$1,ROUNDUP(MOD(COLUMN()-1,31.001),0)),2),Sheet3!$D$1:$E$7,2,0),$NW$21:$NX$35,2,0)="Yes"))</f>
        <v>1</v>
      </c>
      <c r="LX3" s="13" t="b">
        <f>AND(NOT(ISNUMBER(MATCH(DATE($A$2,INT((COLUMN()-1)/31.001)+$A$1,ROUNDUP(MOD(COLUMN()-1,31.001),0)),HolidayList[Date],0))),(VLOOKUP(VLOOKUP(WEEKDAY(DATE($A$2,INT((COLUMN()-1)/31.001)+$A$1,ROUNDUP(MOD(COLUMN()-1,31.001),0)),2),Sheet3!$D$1:$E$7,2,0),$NW$21:$NX$35,2,0)="Yes"))</f>
        <v>1</v>
      </c>
      <c r="LY3" s="13" t="b">
        <f>AND(NOT(ISNUMBER(MATCH(DATE($A$2,INT((COLUMN()-1)/31.001)+$A$1,ROUNDUP(MOD(COLUMN()-1,31.001),0)),HolidayList[Date],0))),(VLOOKUP(VLOOKUP(WEEKDAY(DATE($A$2,INT((COLUMN()-1)/31.001)+$A$1,ROUNDUP(MOD(COLUMN()-1,31.001),0)),2),Sheet3!$D$1:$E$7,2,0),$NW$21:$NX$35,2,0)="Yes"))</f>
        <v>1</v>
      </c>
      <c r="LZ3" s="13" t="b">
        <f>AND(NOT(ISNUMBER(MATCH(DATE($A$2,INT((COLUMN()-1)/31.001)+$A$1,ROUNDUP(MOD(COLUMN()-1,31.001),0)),HolidayList[Date],0))),(VLOOKUP(VLOOKUP(WEEKDAY(DATE($A$2,INT((COLUMN()-1)/31.001)+$A$1,ROUNDUP(MOD(COLUMN()-1,31.001),0)),2),Sheet3!$D$1:$E$7,2,0),$NW$21:$NX$35,2,0)="Yes"))</f>
        <v>1</v>
      </c>
      <c r="MA3" s="13" t="b">
        <f>AND(NOT(ISNUMBER(MATCH(DATE($A$2,INT((COLUMN()-1)/31.001)+$A$1,ROUNDUP(MOD(COLUMN()-1,31.001),0)),HolidayList[Date],0))),(VLOOKUP(VLOOKUP(WEEKDAY(DATE($A$2,INT((COLUMN()-1)/31.001)+$A$1,ROUNDUP(MOD(COLUMN()-1,31.001),0)),2),Sheet3!$D$1:$E$7,2,0),$NW$21:$NX$35,2,0)="Yes"))</f>
        <v>1</v>
      </c>
      <c r="MB3" s="13" t="b">
        <f>AND(NOT(ISNUMBER(MATCH(DATE($A$2,INT((COLUMN()-1)/31.001)+$A$1,ROUNDUP(MOD(COLUMN()-1,31.001),0)),HolidayList[Date],0))),(VLOOKUP(VLOOKUP(WEEKDAY(DATE($A$2,INT((COLUMN()-1)/31.001)+$A$1,ROUNDUP(MOD(COLUMN()-1,31.001),0)),2),Sheet3!$D$1:$E$7,2,0),$NW$21:$NX$35,2,0)="Yes"))</f>
        <v>0</v>
      </c>
      <c r="MC3" s="13" t="b">
        <f>AND(NOT(ISNUMBER(MATCH(DATE($A$2,INT((COLUMN()-1)/31.001)+$A$1,ROUNDUP(MOD(COLUMN()-1,31.001),0)),HolidayList[Date],0))),(VLOOKUP(VLOOKUP(WEEKDAY(DATE($A$2,INT((COLUMN()-1)/31.001)+$A$1,ROUNDUP(MOD(COLUMN()-1,31.001),0)),2),Sheet3!$D$1:$E$7,2,0),$NW$21:$NX$35,2,0)="Yes"))</f>
        <v>0</v>
      </c>
      <c r="MD3" s="13" t="b">
        <f>AND(NOT(ISNUMBER(MATCH(DATE($A$2,INT((COLUMN()-1)/31.001)+$A$1,ROUNDUP(MOD(COLUMN()-1,31.001),0)),HolidayList[Date],0))),(VLOOKUP(VLOOKUP(WEEKDAY(DATE($A$2,INT((COLUMN()-1)/31.001)+$A$1,ROUNDUP(MOD(COLUMN()-1,31.001),0)),2),Sheet3!$D$1:$E$7,2,0),$NW$21:$NX$35,2,0)="Yes"))</f>
        <v>1</v>
      </c>
      <c r="ME3" s="13" t="b">
        <f>AND(NOT(ISNUMBER(MATCH(DATE($A$2,INT((COLUMN()-1)/31.001)+$A$1,ROUNDUP(MOD(COLUMN()-1,31.001),0)),HolidayList[Date],0))),(VLOOKUP(VLOOKUP(WEEKDAY(DATE($A$2,INT((COLUMN()-1)/31.001)+$A$1,ROUNDUP(MOD(COLUMN()-1,31.001),0)),2),Sheet3!$D$1:$E$7,2,0),$NW$21:$NX$35,2,0)="Yes"))</f>
        <v>1</v>
      </c>
      <c r="MF3" s="13" t="b">
        <f>AND(NOT(ISNUMBER(MATCH(DATE($A$2,INT((COLUMN()-1)/31.001)+$A$1,ROUNDUP(MOD(COLUMN()-1,31.001),0)),HolidayList[Date],0))),(VLOOKUP(VLOOKUP(WEEKDAY(DATE($A$2,INT((COLUMN()-1)/31.001)+$A$1,ROUNDUP(MOD(COLUMN()-1,31.001),0)),2),Sheet3!$D$1:$E$7,2,0),$NW$21:$NX$35,2,0)="Yes"))</f>
        <v>1</v>
      </c>
      <c r="MG3" s="13" t="b">
        <f>AND(NOT(ISNUMBER(MATCH(DATE($A$2,INT((COLUMN()-1)/31.001)+$A$1,ROUNDUP(MOD(COLUMN()-1,31.001),0)),HolidayList[Date],0))),(VLOOKUP(VLOOKUP(WEEKDAY(DATE($A$2,INT((COLUMN()-1)/31.001)+$A$1,ROUNDUP(MOD(COLUMN()-1,31.001),0)),2),Sheet3!$D$1:$E$7,2,0),$NW$21:$NX$35,2,0)="Yes"))</f>
        <v>1</v>
      </c>
      <c r="MH3" s="13" t="b">
        <f>AND(NOT(ISNUMBER(MATCH(DATE($A$2,INT((COLUMN()-1)/31.001)+$A$1,ROUNDUP(MOD(COLUMN()-1,31.001),0)),HolidayList[Date],0))),(VLOOKUP(VLOOKUP(WEEKDAY(DATE($A$2,INT((COLUMN()-1)/31.001)+$A$1,ROUNDUP(MOD(COLUMN()-1,31.001),0)),2),Sheet3!$D$1:$E$7,2,0),$NW$21:$NX$35,2,0)="Yes"))</f>
        <v>1</v>
      </c>
      <c r="MI3" s="13" t="b">
        <f>AND(NOT(ISNUMBER(MATCH(DATE($A$2,INT((COLUMN()-1)/31.001)+$A$1,ROUNDUP(MOD(COLUMN()-1,31.001),0)),HolidayList[Date],0))),(VLOOKUP(VLOOKUP(WEEKDAY(DATE($A$2,INT((COLUMN()-1)/31.001)+$A$1,ROUNDUP(MOD(COLUMN()-1,31.001),0)),2),Sheet3!$D$1:$E$7,2,0),$NW$21:$NX$35,2,0)="Yes"))</f>
        <v>1</v>
      </c>
      <c r="MJ3" s="13" t="b">
        <f>AND(NOT(ISNUMBER(MATCH(DATE($A$2,INT((COLUMN()-1)/31.001)+$A$1,ROUNDUP(MOD(COLUMN()-1,31.001),0)),HolidayList[Date],0))),(VLOOKUP(VLOOKUP(WEEKDAY(DATE($A$2,INT((COLUMN()-1)/31.001)+$A$1,ROUNDUP(MOD(COLUMN()-1,31.001),0)),2),Sheet3!$D$1:$E$7,2,0),$NW$21:$NX$35,2,0)="Yes"))</f>
        <v>0</v>
      </c>
      <c r="MK3" s="13" t="b">
        <f>AND(NOT(ISNUMBER(MATCH(DATE($A$2,INT((COLUMN()-1)/31.001)+$A$1,ROUNDUP(MOD(COLUMN()-1,31.001),0)),HolidayList[Date],0))),(VLOOKUP(VLOOKUP(WEEKDAY(DATE($A$2,INT((COLUMN()-1)/31.001)+$A$1,ROUNDUP(MOD(COLUMN()-1,31.001),0)),2),Sheet3!$D$1:$E$7,2,0),$NW$21:$NX$35,2,0)="Yes"))</f>
        <v>0</v>
      </c>
      <c r="ML3" s="13" t="b">
        <f>AND(NOT(ISNUMBER(MATCH(DATE($A$2,INT((COLUMN()-1)/31.001)+$A$1,ROUNDUP(MOD(COLUMN()-1,31.001),0)),HolidayList[Date],0))),(VLOOKUP(VLOOKUP(WEEKDAY(DATE($A$2,INT((COLUMN()-1)/31.001)+$A$1,ROUNDUP(MOD(COLUMN()-1,31.001),0)),2),Sheet3!$D$1:$E$7,2,0),$NW$21:$NX$35,2,0)="Yes"))</f>
        <v>1</v>
      </c>
      <c r="MM3" s="13" t="b">
        <f>AND(NOT(ISNUMBER(MATCH(DATE($A$2,INT((COLUMN()-1)/31.001)+$A$1,ROUNDUP(MOD(COLUMN()-1,31.001),0)),HolidayList[Date],0))),(VLOOKUP(VLOOKUP(WEEKDAY(DATE($A$2,INT((COLUMN()-1)/31.001)+$A$1,ROUNDUP(MOD(COLUMN()-1,31.001),0)),2),Sheet3!$D$1:$E$7,2,0),$NW$21:$NX$35,2,0)="Yes"))</f>
        <v>1</v>
      </c>
      <c r="MN3" s="13" t="b">
        <f>AND(NOT(ISNUMBER(MATCH(DATE($A$2,INT((COLUMN()-1)/31.001)+$A$1,ROUNDUP(MOD(COLUMN()-1,31.001),0)),HolidayList[Date],0))),(VLOOKUP(VLOOKUP(WEEKDAY(DATE($A$2,INT((COLUMN()-1)/31.001)+$A$1,ROUNDUP(MOD(COLUMN()-1,31.001),0)),2),Sheet3!$D$1:$E$7,2,0),$NW$21:$NX$35,2,0)="Yes"))</f>
        <v>1</v>
      </c>
      <c r="MO3" s="13" t="b">
        <f>AND(NOT(ISNUMBER(MATCH(DATE($A$2,INT((COLUMN()-1)/31.001)+$A$1,ROUNDUP(MOD(COLUMN()-1,31.001),0)),HolidayList[Date],0))),(VLOOKUP(VLOOKUP(WEEKDAY(DATE($A$2,INT((COLUMN()-1)/31.001)+$A$1,ROUNDUP(MOD(COLUMN()-1,31.001),0)),2),Sheet3!$D$1:$E$7,2,0),$NW$21:$NX$35,2,0)="Yes"))</f>
        <v>1</v>
      </c>
      <c r="MP3" s="13" t="b">
        <f>AND(NOT(ISNUMBER(MATCH(DATE($A$2,INT((COLUMN()-1)/31.001)+$A$1,ROUNDUP(MOD(COLUMN()-1,31.001),0)),HolidayList[Date],0))),(VLOOKUP(VLOOKUP(WEEKDAY(DATE($A$2,INT((COLUMN()-1)/31.001)+$A$1,ROUNDUP(MOD(COLUMN()-1,31.001),0)),2),Sheet3!$D$1:$E$7,2,0),$NW$21:$NX$35,2,0)="Yes"))</f>
        <v>1</v>
      </c>
      <c r="MQ3" s="13" t="b">
        <f>AND(NOT(ISNUMBER(MATCH(DATE($A$2,INT((COLUMN()-1)/31.001)+$A$1,ROUNDUP(MOD(COLUMN()-1,31.001),0)),HolidayList[Date],0))),(VLOOKUP(VLOOKUP(WEEKDAY(DATE($A$2,INT((COLUMN()-1)/31.001)+$A$1,ROUNDUP(MOD(COLUMN()-1,31.001),0)),2),Sheet3!$D$1:$E$7,2,0),$NW$21:$NX$35,2,0)="Yes"))</f>
        <v>0</v>
      </c>
      <c r="MR3" s="13" t="b">
        <f>AND(NOT(ISNUMBER(MATCH(DATE($A$2,INT((COLUMN()-1)/31.001)+$A$1,ROUNDUP(MOD(COLUMN()-1,31.001),0)),HolidayList[Date],0))),(VLOOKUP(VLOOKUP(WEEKDAY(DATE($A$2,INT((COLUMN()-1)/31.001)+$A$1,ROUNDUP(MOD(COLUMN()-1,31.001),0)),2),Sheet3!$D$1:$E$7,2,0),$NW$21:$NX$35,2,0)="Yes"))</f>
        <v>0</v>
      </c>
      <c r="MS3" s="13" t="b">
        <f>AND(NOT(ISNUMBER(MATCH(DATE($A$2,INT((COLUMN()-1)/31.001)+$A$1,ROUNDUP(MOD(COLUMN()-1,31.001),0)),HolidayList[Date],0))),(VLOOKUP(VLOOKUP(WEEKDAY(DATE($A$2,INT((COLUMN()-1)/31.001)+$A$1,ROUNDUP(MOD(COLUMN()-1,31.001),0)),2),Sheet3!$D$1:$E$7,2,0),$NW$21:$NX$35,2,0)="Yes"))</f>
        <v>1</v>
      </c>
      <c r="MT3" s="13" t="b">
        <f>AND(NOT(ISNUMBER(MATCH(DATE($A$2,INT((COLUMN()-1)/31.001)+$A$1,ROUNDUP(MOD(COLUMN()-1,31.001),0)),HolidayList[Date],0))),(VLOOKUP(VLOOKUP(WEEKDAY(DATE($A$2,INT((COLUMN()-1)/31.001)+$A$1,ROUNDUP(MOD(COLUMN()-1,31.001),0)),2),Sheet3!$D$1:$E$7,2,0),$NW$21:$NX$35,2,0)="Yes"))</f>
        <v>1</v>
      </c>
      <c r="MU3" s="13" t="b">
        <f>AND(NOT(ISNUMBER(MATCH(DATE($A$2,INT((COLUMN()-1)/31.001)+$A$1,ROUNDUP(MOD(COLUMN()-1,31.001),0)),HolidayList[Date],0))),(VLOOKUP(VLOOKUP(WEEKDAY(DATE($A$2,INT((COLUMN()-1)/31.001)+$A$1,ROUNDUP(MOD(COLUMN()-1,31.001),0)),2),Sheet3!$D$1:$E$7,2,0),$NW$21:$NX$35,2,0)="Yes"))</f>
        <v>1</v>
      </c>
      <c r="MV3" s="13" t="b">
        <f>AND(NOT(ISNUMBER(MATCH(DATE($A$2,INT((COLUMN()-1)/31.001)+$A$1,ROUNDUP(MOD(COLUMN()-1,31.001),0)),HolidayList[Date],0))),(VLOOKUP(VLOOKUP(WEEKDAY(DATE($A$2,INT((COLUMN()-1)/31.001)+$A$1,ROUNDUP(MOD(COLUMN()-1,31.001),0)),2),Sheet3!$D$1:$E$7,2,0),$NW$21:$NX$35,2,0)="Yes"))</f>
        <v>1</v>
      </c>
      <c r="MW3" s="13" t="b">
        <f>AND(NOT(ISNUMBER(MATCH(DATE($A$2,INT((COLUMN()-1)/31.001)+$A$1,ROUNDUP(MOD(COLUMN()-1,31.001),0)),HolidayList[Date],0))),(VLOOKUP(VLOOKUP(WEEKDAY(DATE($A$2,INT((COLUMN()-1)/31.001)+$A$1,ROUNDUP(MOD(COLUMN()-1,31.001),0)),2),Sheet3!$D$1:$E$7,2,0),$NW$21:$NX$35,2,0)="Yes"))</f>
        <v>1</v>
      </c>
      <c r="MX3" s="13" t="b">
        <f>AND(NOT(ISNUMBER(MATCH(DATE($A$2,INT((COLUMN()-1)/31.001)+$A$1,ROUNDUP(MOD(COLUMN()-1,31.001),0)),HolidayList[Date],0))),(VLOOKUP(VLOOKUP(WEEKDAY(DATE($A$2,INT((COLUMN()-1)/31.001)+$A$1,ROUNDUP(MOD(COLUMN()-1,31.001),0)),2),Sheet3!$D$1:$E$7,2,0),$NW$21:$NX$35,2,0)="Yes"))</f>
        <v>0</v>
      </c>
      <c r="MY3" s="13" t="b">
        <f>AND(NOT(ISNUMBER(MATCH(DATE($A$2,INT((COLUMN()-1)/31.001)+$A$1,ROUNDUP(MOD(COLUMN()-1,31.001),0)),HolidayList[Date],0))),(VLOOKUP(VLOOKUP(WEEKDAY(DATE($A$2,INT((COLUMN()-1)/31.001)+$A$1,ROUNDUP(MOD(COLUMN()-1,31.001),0)),2),Sheet3!$D$1:$E$7,2,0),$NW$21:$NX$35,2,0)="Yes"))</f>
        <v>0</v>
      </c>
      <c r="MZ3" s="13" t="b">
        <f>AND(NOT(ISNUMBER(MATCH(DATE($A$2,INT((COLUMN()-1)/31.001)+$A$1,ROUNDUP(MOD(COLUMN()-1,31.001),0)),HolidayList[Date],0))),(VLOOKUP(VLOOKUP(WEEKDAY(DATE($A$2,INT((COLUMN()-1)/31.001)+$A$1,ROUNDUP(MOD(COLUMN()-1,31.001),0)),2),Sheet3!$D$1:$E$7,2,0),$NW$21:$NX$35,2,0)="Yes"))</f>
        <v>1</v>
      </c>
      <c r="NA3" s="13" t="b">
        <f>AND(NOT(ISNUMBER(MATCH(DATE($A$2,INT((COLUMN()-1)/31.001)+$A$1,ROUNDUP(MOD(COLUMN()-1,31.001),0)),HolidayList[Date],0))),(VLOOKUP(VLOOKUP(WEEKDAY(DATE($A$2,INT((COLUMN()-1)/31.001)+$A$1,ROUNDUP(MOD(COLUMN()-1,31.001),0)),2),Sheet3!$D$1:$E$7,2,0),$NW$21:$NX$35,2,0)="Yes"))</f>
        <v>1</v>
      </c>
      <c r="NB3" s="13" t="b">
        <f>AND(NOT(ISNUMBER(MATCH(DATE($A$2,INT((COLUMN()-1)/31.001)+$A$1,ROUNDUP(MOD(COLUMN()-1,31.001),0)),HolidayList[Date],0))),(VLOOKUP(VLOOKUP(WEEKDAY(DATE($A$2,INT((COLUMN()-1)/31.001)+$A$1,ROUNDUP(MOD(COLUMN()-1,31.001),0)),2),Sheet3!$D$1:$E$7,2,0),$NW$21:$NX$35,2,0)="Yes"))</f>
        <v>1</v>
      </c>
      <c r="NC3" s="13" t="b">
        <f>AND(NOT(ISNUMBER(MATCH(DATE($A$2,INT((COLUMN()-1)/31.001)+$A$1,ROUNDUP(MOD(COLUMN()-1,31.001),0)),HolidayList[Date],0))),(VLOOKUP(VLOOKUP(WEEKDAY(DATE($A$2,INT((COLUMN()-1)/31.001)+$A$1,ROUNDUP(MOD(COLUMN()-1,31.001),0)),2),Sheet3!$D$1:$E$7,2,0),$NW$21:$NX$35,2,0)="Yes"))</f>
        <v>1</v>
      </c>
      <c r="ND3" s="13" t="b">
        <f>AND(NOT(ISNUMBER(MATCH(DATE($A$2,INT((COLUMN()-1)/31.001)+$A$1,ROUNDUP(MOD(COLUMN()-1,31.001),0)),HolidayList[Date],0))),(VLOOKUP(VLOOKUP(WEEKDAY(DATE($A$2,INT((COLUMN()-1)/31.001)+$A$1,ROUNDUP(MOD(COLUMN()-1,31.001),0)),2),Sheet3!$D$1:$E$7,2,0),$NW$21:$NX$35,2,0)="Yes"))</f>
        <v>1</v>
      </c>
      <c r="NE3" s="13" t="b">
        <f>AND(NOT(ISNUMBER(MATCH(DATE($A$2,INT((COLUMN()-1)/31.001)+$A$1,ROUNDUP(MOD(COLUMN()-1,31.001),0)),HolidayList[Date],0))),(VLOOKUP(VLOOKUP(WEEKDAY(DATE($A$2,INT((COLUMN()-1)/31.001)+$A$1,ROUNDUP(MOD(COLUMN()-1,31.001),0)),2),Sheet3!$D$1:$E$7,2,0),$NW$21:$NX$35,2,0)="Yes"))</f>
        <v>0</v>
      </c>
      <c r="NF3" s="13" t="b">
        <f>AND(NOT(ISNUMBER(MATCH(DATE($A$2,INT((COLUMN()-1)/31.001)+$A$1,ROUNDUP(MOD(COLUMN()-1,31.001),0)),HolidayList[Date],0))),(VLOOKUP(VLOOKUP(WEEKDAY(DATE($A$2,INT((COLUMN()-1)/31.001)+$A$1,ROUNDUP(MOD(COLUMN()-1,31.001),0)),2),Sheet3!$D$1:$E$7,2,0),$NW$21:$NX$35,2,0)="Yes"))</f>
        <v>0</v>
      </c>
      <c r="NG3" s="13" t="b">
        <f>AND(NOT(ISNUMBER(MATCH(DATE($A$2,INT((COLUMN()-1)/31.001)+$A$1,ROUNDUP(MOD(COLUMN()-1,31.001),0)),HolidayList[Date],0))),(VLOOKUP(VLOOKUP(WEEKDAY(DATE($A$2,INT((COLUMN()-1)/31.001)+$A$1,ROUNDUP(MOD(COLUMN()-1,31.001),0)),2),Sheet3!$D$1:$E$7,2,0),$NW$21:$NX$35,2,0)="Yes"))</f>
        <v>1</v>
      </c>
      <c r="NH3" s="13" t="b">
        <f>AND(NOT(ISNUMBER(MATCH(DATE($A$2,INT((COLUMN()-1)/31.001)+$A$1,ROUNDUP(MOD(COLUMN()-1,31.001),0)),HolidayList[Date],0))),(VLOOKUP(VLOOKUP(WEEKDAY(DATE($A$2,INT((COLUMN()-1)/31.001)+$A$1,ROUNDUP(MOD(COLUMN()-1,31.001),0)),2),Sheet3!$D$1:$E$7,2,0),$NW$21:$NX$35,2,0)="Yes"))</f>
        <v>1</v>
      </c>
      <c r="NI3" s="13" t="b">
        <f>AND(NOT(ISNUMBER(MATCH(DATE($A$2,INT((COLUMN()-1)/31.001)+$A$1,ROUNDUP(MOD(COLUMN()-1,31.001),0)),HolidayList[Date],0))),(VLOOKUP(VLOOKUP(WEEKDAY(DATE($A$2,INT((COLUMN()-1)/31.001)+$A$1,ROUNDUP(MOD(COLUMN()-1,31.001),0)),2),Sheet3!$D$1:$E$7,2,0),$NW$21:$NX$35,2,0)="Yes"))</f>
        <v>1</v>
      </c>
      <c r="NJ3" s="13" t="b">
        <f>AND(NOT(ISNUMBER(MATCH(DATE($A$2,INT((COLUMN()-1)/31.001)+$A$1,ROUNDUP(MOD(COLUMN()-1,31.001),0)),HolidayList[Date],0))),(VLOOKUP(VLOOKUP(WEEKDAY(DATE($A$2,INT((COLUMN()-1)/31.001)+$A$1,ROUNDUP(MOD(COLUMN()-1,31.001),0)),2),Sheet3!$D$1:$E$7,2,0),$NW$21:$NX$35,2,0)="Yes"))</f>
        <v>1</v>
      </c>
      <c r="NK3" s="2"/>
      <c r="NL3" s="2"/>
      <c r="NM3" s="2"/>
      <c r="NN3" s="2"/>
      <c r="NO3" s="2"/>
      <c r="NP3" s="2"/>
      <c r="NQ3" s="2"/>
      <c r="NR3" s="2"/>
      <c r="NS3" s="2"/>
      <c r="NT3" s="2"/>
      <c r="NU3" s="2"/>
      <c r="NV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c r="SV3" s="2"/>
      <c r="SW3" s="2"/>
      <c r="SX3" s="2"/>
      <c r="SY3" s="2"/>
      <c r="SZ3" s="2"/>
      <c r="TA3" s="2"/>
      <c r="TB3" s="2"/>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row>
    <row r="4" spans="1:761" x14ac:dyDescent="0.25">
      <c r="A4" s="4"/>
      <c r="B4" s="13" t="b">
        <f>IFERROR(IF(AND(VLOOKUP(B6,$NW$21:$NX$35,2,0)="Yes",NOT(ISNUMBER(VLOOKUP(DATE($A$2,$A$3+$A$1-1,B5),HolidayList[Date],1,0)))),TRUE,FALSE),FALSE)</f>
        <v>0</v>
      </c>
      <c r="C4" s="13" t="b">
        <f>IFERROR(IF(AND(VLOOKUP(C6,$NW$21:$NX$35,2,0)="Yes",NOT(ISNUMBER(VLOOKUP(DATE($A$2,$A$3+$A$1-1,C5),HolidayList[Date],1,0)))),TRUE,FALSE),FALSE)</f>
        <v>0</v>
      </c>
      <c r="D4" s="13" t="b">
        <f>IFERROR(IF(AND(VLOOKUP(D6,$NW$21:$NX$35,2,0)="Yes",NOT(ISNUMBER(VLOOKUP(DATE($A$2,$A$3+$A$1-1,D5),HolidayList[Date],1,0)))),TRUE,FALSE),FALSE)</f>
        <v>0</v>
      </c>
      <c r="E4" s="13" t="b">
        <f>IFERROR(IF(AND(VLOOKUP(E6,$NW$21:$NX$35,2,0)="Yes",NOT(ISNUMBER(VLOOKUP(DATE($A$2,$A$3+$A$1-1,E5),HolidayList[Date],1,0)))),TRUE,FALSE),FALSE)</f>
        <v>0</v>
      </c>
      <c r="F4" s="13" t="b">
        <f>IFERROR(IF(AND(VLOOKUP(F6,$NW$21:$NX$35,2,0)="Yes",NOT(ISNUMBER(VLOOKUP(DATE($A$2,$A$3+$A$1-1,F5),HolidayList[Date],1,0)))),TRUE,FALSE),FALSE)</f>
        <v>0</v>
      </c>
      <c r="G4" s="13" t="b">
        <f>IFERROR(IF(AND(VLOOKUP(G6,$NW$21:$NX$35,2,0)="Yes",NOT(ISNUMBER(VLOOKUP(DATE($A$2,$A$3+$A$1-1,G5),HolidayList[Date],1,0)))),TRUE,FALSE),FALSE)</f>
        <v>0</v>
      </c>
      <c r="H4" s="13" t="b">
        <f>IFERROR(IF(AND(VLOOKUP(H6,$NW$21:$NX$35,2,0)="Yes",NOT(ISNUMBER(VLOOKUP(DATE($A$2,$A$3+$A$1-1,H5),HolidayList[Date],1,0)))),TRUE,FALSE),FALSE)</f>
        <v>0</v>
      </c>
      <c r="I4" s="13" t="b">
        <f>IFERROR(IF(AND(VLOOKUP(I6,$NW$21:$NX$35,2,0)="Yes",NOT(ISNUMBER(VLOOKUP(DATE($A$2,$A$3+$A$1-1,I5),HolidayList[Date],1,0)))),TRUE,FALSE),FALSE)</f>
        <v>0</v>
      </c>
      <c r="J4" s="13" t="b">
        <f>IFERROR(IF(AND(VLOOKUP(J6,$NW$21:$NX$35,2,0)="Yes",NOT(ISNUMBER(VLOOKUP(DATE($A$2,$A$3+$A$1-1,J5),HolidayList[Date],1,0)))),TRUE,FALSE),FALSE)</f>
        <v>0</v>
      </c>
      <c r="K4" s="13" t="b">
        <f>IFERROR(IF(AND(VLOOKUP(K6,$NW$21:$NX$35,2,0)="Yes",NOT(ISNUMBER(VLOOKUP(DATE($A$2,$A$3+$A$1-1,K5),HolidayList[Date],1,0)))),TRUE,FALSE),FALSE)</f>
        <v>0</v>
      </c>
      <c r="L4" s="13" t="b">
        <f>IFERROR(IF(AND(VLOOKUP(L6,$NW$21:$NX$35,2,0)="Yes",NOT(ISNUMBER(VLOOKUP(DATE($A$2,$A$3+$A$1-1,L5),HolidayList[Date],1,0)))),TRUE,FALSE),FALSE)</f>
        <v>0</v>
      </c>
      <c r="M4" s="13" t="b">
        <f>IFERROR(IF(AND(VLOOKUP(M6,$NW$21:$NX$35,2,0)="Yes",NOT(ISNUMBER(VLOOKUP(DATE($A$2,$A$3+$A$1-1,M5),HolidayList[Date],1,0)))),TRUE,FALSE),FALSE)</f>
        <v>0</v>
      </c>
      <c r="N4" s="13" t="b">
        <f>IFERROR(IF(AND(VLOOKUP(N6,$NW$21:$NX$35,2,0)="Yes",NOT(ISNUMBER(VLOOKUP(DATE($A$2,$A$3+$A$1-1,N5),HolidayList[Date],1,0)))),TRUE,FALSE),FALSE)</f>
        <v>0</v>
      </c>
      <c r="O4" s="13" t="b">
        <f>IFERROR(IF(AND(VLOOKUP(O6,$NW$21:$NX$35,2,0)="Yes",NOT(ISNUMBER(VLOOKUP(DATE($A$2,$A$3+$A$1-1,O5),HolidayList[Date],1,0)))),TRUE,FALSE),FALSE)</f>
        <v>0</v>
      </c>
      <c r="P4" s="13" t="b">
        <f>IFERROR(IF(AND(VLOOKUP(P6,$NW$21:$NX$35,2,0)="Yes",NOT(ISNUMBER(VLOOKUP(DATE($A$2,$A$3+$A$1-1,P5),HolidayList[Date],1,0)))),TRUE,FALSE),FALSE)</f>
        <v>0</v>
      </c>
      <c r="Q4" s="13" t="b">
        <f>IFERROR(IF(AND(VLOOKUP(Q6,$NW$21:$NX$35,2,0)="Yes",NOT(ISNUMBER(VLOOKUP(DATE($A$2,$A$3+$A$1-1,Q5),HolidayList[Date],1,0)))),TRUE,FALSE),FALSE)</f>
        <v>0</v>
      </c>
      <c r="R4" s="13" t="b">
        <f>IFERROR(IF(AND(VLOOKUP(R6,$NW$21:$NX$35,2,0)="Yes",NOT(ISNUMBER(VLOOKUP(DATE($A$2,$A$3+$A$1-1,R5),HolidayList[Date],1,0)))),TRUE,FALSE),FALSE)</f>
        <v>0</v>
      </c>
      <c r="S4" s="13" t="b">
        <f>IFERROR(IF(AND(VLOOKUP(S6,$NW$21:$NX$35,2,0)="Yes",NOT(ISNUMBER(VLOOKUP(DATE($A$2,$A$3+$A$1-1,S5),HolidayList[Date],1,0)))),TRUE,FALSE),FALSE)</f>
        <v>0</v>
      </c>
      <c r="T4" s="13" t="b">
        <f>IFERROR(IF(AND(VLOOKUP(T6,$NW$21:$NX$35,2,0)="Yes",NOT(ISNUMBER(VLOOKUP(DATE($A$2,$A$3+$A$1-1,T5),HolidayList[Date],1,0)))),TRUE,FALSE),FALSE)</f>
        <v>0</v>
      </c>
      <c r="U4" s="13" t="b">
        <f>IFERROR(IF(AND(VLOOKUP(U6,$NW$21:$NX$35,2,0)="Yes",NOT(ISNUMBER(VLOOKUP(DATE($A$2,$A$3+$A$1-1,U5),HolidayList[Date],1,0)))),TRUE,FALSE),FALSE)</f>
        <v>0</v>
      </c>
      <c r="V4" s="13" t="b">
        <f>IFERROR(IF(AND(VLOOKUP(V6,$NW$21:$NX$35,2,0)="Yes",NOT(ISNUMBER(VLOOKUP(DATE($A$2,$A$3+$A$1-1,V5),HolidayList[Date],1,0)))),TRUE,FALSE),FALSE)</f>
        <v>0</v>
      </c>
      <c r="W4" s="13" t="b">
        <f>IFERROR(IF(AND(VLOOKUP(W6,$NW$21:$NX$35,2,0)="Yes",NOT(ISNUMBER(VLOOKUP(DATE($A$2,$A$3+$A$1-1,W5),HolidayList[Date],1,0)))),TRUE,FALSE),FALSE)</f>
        <v>0</v>
      </c>
      <c r="X4" s="13" t="b">
        <f>IFERROR(IF(AND(VLOOKUP(X6,$NW$21:$NX$35,2,0)="Yes",NOT(ISNUMBER(VLOOKUP(DATE($A$2,$A$3+$A$1-1,X5),HolidayList[Date],1,0)))),TRUE,FALSE),FALSE)</f>
        <v>0</v>
      </c>
      <c r="Y4" s="13" t="b">
        <f>IFERROR(IF(AND(VLOOKUP(Y6,$NW$21:$NX$35,2,0)="Yes",NOT(ISNUMBER(VLOOKUP(DATE($A$2,$A$3+$A$1-1,Y5),HolidayList[Date],1,0)))),TRUE,FALSE),FALSE)</f>
        <v>0</v>
      </c>
      <c r="Z4" s="13" t="b">
        <f>IFERROR(IF(AND(VLOOKUP(Z6,$NW$21:$NX$35,2,0)="Yes",NOT(ISNUMBER(VLOOKUP(DATE($A$2,$A$3+$A$1-1,Z5),HolidayList[Date],1,0)))),TRUE,FALSE),FALSE)</f>
        <v>0</v>
      </c>
      <c r="AA4" s="13" t="b">
        <f>IFERROR(IF(AND(VLOOKUP(AA6,$NW$21:$NX$35,2,0)="Yes",NOT(ISNUMBER(VLOOKUP(DATE($A$2,$A$3+$A$1-1,AA5),HolidayList[Date],1,0)))),TRUE,FALSE),FALSE)</f>
        <v>0</v>
      </c>
      <c r="AB4" s="13" t="b">
        <f>IFERROR(IF(AND(VLOOKUP(AB6,$NW$21:$NX$35,2,0)="Yes",NOT(ISNUMBER(VLOOKUP(DATE($A$2,$A$3+$A$1-1,AB5),HolidayList[Date],1,0)))),TRUE,FALSE),FALSE)</f>
        <v>0</v>
      </c>
      <c r="AC4" s="13" t="b">
        <f>IFERROR(IF(AND(VLOOKUP(AC6,$NW$21:$NX$35,2,0)="Yes",NOT(ISNUMBER(VLOOKUP(DATE($A$2,$A$3+$A$1-1,AC5),HolidayList[Date],1,0)))),TRUE,FALSE),FALSE)</f>
        <v>0</v>
      </c>
      <c r="AD4" s="13" t="b">
        <f>IFERROR(IF(AND(VLOOKUP(AD6,$NW$21:$NX$35,2,0)="Yes",NOT(ISNUMBER(VLOOKUP(DATE($A$2,$A$3+$A$1-1,AD5),HolidayList[Date],1,0)))),TRUE,FALSE),FALSE)</f>
        <v>0</v>
      </c>
      <c r="AE4" s="13" t="b">
        <f>IFERROR(IF(AND(VLOOKUP(AE6,$NW$21:$NX$35,2,0)="Yes",NOT(ISNUMBER(VLOOKUP(DATE($A$2,$A$3+$A$1-1,AE5),HolidayList[Date],1,0)))),TRUE,FALSE),FALSE)</f>
        <v>0</v>
      </c>
      <c r="AF4" s="13" t="b">
        <f>IFERROR(IF(AND(VLOOKUP(AF6,$NW$21:$NX$35,2,0)="Yes",NOT(ISNUMBER(VLOOKUP(DATE($A$2,$A$3+$A$1-1,AF5),HolidayList[Date],1,0)))),TRUE,FALSE),FALSE)</f>
        <v>0</v>
      </c>
      <c r="AG4" s="13" t="b">
        <f>IFERROR(IF(AND(VLOOKUP(AG6,$NW$21:$NX$35,2,0)="Yes",NOT(ISNUMBER(VLOOKUP(DATE($A$2,$A$3+$A$1-1,AG5),HolidayList[Date],1,0)))),TRUE,FALSE),FALSE)</f>
        <v>0</v>
      </c>
      <c r="AH4" s="13" t="b">
        <f>IFERROR(IF(AND(VLOOKUP(AH6,$NW$21:$NX$35,2,0)="Yes",NOT(ISNUMBER(VLOOKUP(DATE($A$2,$A$3+$A$1-1,AH5),HolidayList[Date],1,0)))),TRUE,FALSE),FALSE)</f>
        <v>0</v>
      </c>
      <c r="AI4" s="13" t="b">
        <f>IFERROR(IF(AND(VLOOKUP(AI6,$NW$21:$NX$35,2,0)="Yes",NOT(ISNUMBER(VLOOKUP(DATE($A$2,$A$3+$A$1-1,AI5),HolidayList[Date],1,0)))),TRUE,FALSE),FALSE)</f>
        <v>0</v>
      </c>
      <c r="AJ4" s="13" t="b">
        <f>IFERROR(IF(AND(VLOOKUP(AJ6,$NW$21:$NX$35,2,0)="Yes",NOT(ISNUMBER(VLOOKUP(DATE($A$2,$A$3+$A$1-1,AJ5),HolidayList[Date],1,0)))),TRUE,FALSE),FALSE)</f>
        <v>0</v>
      </c>
      <c r="AK4" s="13" t="b">
        <f>IFERROR(IF(AND(VLOOKUP(AK6,$NW$21:$NX$35,2,0)="Yes",NOT(ISNUMBER(VLOOKUP(DATE($A$2,$A$3+$A$1-1,AK5),HolidayList[Date],1,0)))),TRUE,FALSE),FALSE)</f>
        <v>0</v>
      </c>
      <c r="AL4" s="13" t="b">
        <f>IFERROR(IF(AND(VLOOKUP(AL6,$NW$21:$NX$35,2,0)="Yes",NOT(ISNUMBER(VLOOKUP(DATE($A$2,$A$3+$A$1-1,AL5),HolidayList[Date],1,0)))),TRUE,FALSE),FALSE)</f>
        <v>0</v>
      </c>
      <c r="AM4" s="13" t="b">
        <f>IFERROR(IF(AND(VLOOKUP(AM6,$NW$21:$NX$35,2,0)="Yes",NOT(ISNUMBER(VLOOKUP(DATE($A$2,$A$3+$A$1-1,AM5),HolidayList[Date],1,0)))),TRUE,FALSE),FALSE)</f>
        <v>0</v>
      </c>
      <c r="AN4" s="13" t="b">
        <f>IFERROR(IF(AND(VLOOKUP(AN6,$NW$21:$NX$35,2,0)="Yes",NOT(ISNUMBER(VLOOKUP(DATE($A$2,$A$3+$A$1-1,AN5),HolidayList[Date],1,0)))),TRUE,FALSE),FALSE)</f>
        <v>0</v>
      </c>
      <c r="AO4" s="13" t="b">
        <f>IFERROR(IF(AND(VLOOKUP(AO6,$NW$21:$NX$35,2,0)="Yes",NOT(ISNUMBER(VLOOKUP(DATE($A$2,$A$3+$A$1-1,AO5),HolidayList[Date],1,0)))),TRUE,FALSE),FALSE)</f>
        <v>0</v>
      </c>
      <c r="AP4" s="13" t="b">
        <f>IFERROR(IF(AND(VLOOKUP(AP6,$NW$21:$NX$35,2,0)="Yes",NOT(ISNUMBER(VLOOKUP(DATE($A$2,$A$3+$A$1-1,AP5),HolidayList[Date],1,0)))),TRUE,FALSE),FALSE)</f>
        <v>0</v>
      </c>
      <c r="AQ4" s="13" t="b">
        <f>IFERROR(IF(AND(VLOOKUP(AQ6,$NW$21:$NX$35,2,0)="Yes",NOT(ISNUMBER(VLOOKUP(DATE($A$2,$A$3+$A$1-1,AQ5),HolidayList[Date],1,0)))),TRUE,FALSE),FALSE)</f>
        <v>0</v>
      </c>
      <c r="AR4" s="13" t="b">
        <f>IFERROR(IF(AND(VLOOKUP(AR6,$NW$21:$NX$35,2,0)="Yes",NOT(ISNUMBER(VLOOKUP(DATE($A$2,$A$3+$A$1-1,AR5),HolidayList[Date],1,0)))),TRUE,FALSE),FALSE)</f>
        <v>0</v>
      </c>
      <c r="AS4" s="13" t="b">
        <f>IFERROR(IF(AND(VLOOKUP(AS6,$NW$21:$NX$35,2,0)="Yes",NOT(ISNUMBER(VLOOKUP(DATE($A$2,$A$3+$A$1-1,AS5),HolidayList[Date],1,0)))),TRUE,FALSE),FALSE)</f>
        <v>0</v>
      </c>
      <c r="AT4" s="13" t="b">
        <f>IFERROR(IF(AND(VLOOKUP(AT6,$NW$21:$NX$35,2,0)="Yes",NOT(ISNUMBER(VLOOKUP(DATE($A$2,$A$3+$A$1-1,AT5),HolidayList[Date],1,0)))),TRUE,FALSE),FALSE)</f>
        <v>0</v>
      </c>
      <c r="AU4" s="13" t="b">
        <f>IFERROR(IF(AND(VLOOKUP(AU6,$NW$21:$NX$35,2,0)="Yes",NOT(ISNUMBER(VLOOKUP(DATE($A$2,$A$3+$A$1-1,AU5),HolidayList[Date],1,0)))),TRUE,FALSE),FALSE)</f>
        <v>0</v>
      </c>
      <c r="AV4" s="13" t="b">
        <f>IFERROR(IF(AND(VLOOKUP(AV6,$NW$21:$NX$35,2,0)="Yes",NOT(ISNUMBER(VLOOKUP(DATE($A$2,$A$3+$A$1-1,AV5),HolidayList[Date],1,0)))),TRUE,FALSE),FALSE)</f>
        <v>0</v>
      </c>
      <c r="AW4" s="13" t="b">
        <f>IFERROR(IF(AND(VLOOKUP(AW6,$NW$21:$NX$35,2,0)="Yes",NOT(ISNUMBER(VLOOKUP(DATE($A$2,$A$3+$A$1-1,AW5),HolidayList[Date],1,0)))),TRUE,FALSE),FALSE)</f>
        <v>0</v>
      </c>
      <c r="AX4" s="13" t="b">
        <f>IFERROR(IF(AND(VLOOKUP(AX6,$NW$21:$NX$35,2,0)="Yes",NOT(ISNUMBER(VLOOKUP(DATE($A$2,$A$3+$A$1-1,AX5),HolidayList[Date],1,0)))),TRUE,FALSE),FALSE)</f>
        <v>0</v>
      </c>
      <c r="AY4" s="13" t="b">
        <f>IFERROR(IF(AND(VLOOKUP(AY6,$NW$21:$NX$35,2,0)="Yes",NOT(ISNUMBER(VLOOKUP(DATE($A$2,$A$3+$A$1-1,AY5),HolidayList[Date],1,0)))),TRUE,FALSE),FALSE)</f>
        <v>0</v>
      </c>
      <c r="AZ4" s="13" t="b">
        <f>IFERROR(IF(AND(VLOOKUP(AZ6,$NW$21:$NX$35,2,0)="Yes",NOT(ISNUMBER(VLOOKUP(DATE($A$2,$A$3+$A$1-1,AZ5),HolidayList[Date],1,0)))),TRUE,FALSE),FALSE)</f>
        <v>0</v>
      </c>
      <c r="BA4" s="13" t="b">
        <f>IFERROR(IF(AND(VLOOKUP(BA6,$NW$21:$NX$35,2,0)="Yes",NOT(ISNUMBER(VLOOKUP(DATE($A$2,$A$3+$A$1-1,BA5),HolidayList[Date],1,0)))),TRUE,FALSE),FALSE)</f>
        <v>0</v>
      </c>
      <c r="BB4" s="13" t="b">
        <f>IFERROR(IF(AND(VLOOKUP(BB6,$NW$21:$NX$35,2,0)="Yes",NOT(ISNUMBER(VLOOKUP(DATE($A$2,$A$3+$A$1-1,BB5),HolidayList[Date],1,0)))),TRUE,FALSE),FALSE)</f>
        <v>0</v>
      </c>
      <c r="BC4" s="13" t="b">
        <f>IFERROR(IF(AND(VLOOKUP(BC6,$NW$21:$NX$35,2,0)="Yes",NOT(ISNUMBER(VLOOKUP(DATE($A$2,$A$3+$A$1-1,BC5),HolidayList[Date],1,0)))),TRUE,FALSE),FALSE)</f>
        <v>0</v>
      </c>
      <c r="BD4" s="13" t="b">
        <f>IFERROR(IF(AND(VLOOKUP(BD6,$NW$21:$NX$35,2,0)="Yes",NOT(ISNUMBER(VLOOKUP(DATE($A$2,$A$3+$A$1-1,BD5),HolidayList[Date],1,0)))),TRUE,FALSE),FALSE)</f>
        <v>0</v>
      </c>
      <c r="BE4" s="13" t="b">
        <f>IFERROR(IF(AND(VLOOKUP(BE6,$NW$21:$NX$35,2,0)="Yes",NOT(ISNUMBER(VLOOKUP(DATE($A$2,$A$3+$A$1-1,BE5),HolidayList[Date],1,0)))),TRUE,FALSE),FALSE)</f>
        <v>0</v>
      </c>
      <c r="BF4" s="13" t="b">
        <f>IFERROR(IF(AND(VLOOKUP(BF6,$NW$21:$NX$35,2,0)="Yes",NOT(ISNUMBER(VLOOKUP(DATE($A$2,$A$3+$A$1-1,BF5),HolidayList[Date],1,0)))),TRUE,FALSE),FALSE)</f>
        <v>0</v>
      </c>
      <c r="BG4" s="13" t="b">
        <f>IFERROR(IF(AND(VLOOKUP(BG6,$NW$21:$NX$35,2,0)="Yes",NOT(ISNUMBER(VLOOKUP(DATE($A$2,$A$3+$A$1-1,BG5),HolidayList[Date],1,0)))),TRUE,FALSE),FALSE)</f>
        <v>0</v>
      </c>
      <c r="BH4" s="13" t="b">
        <f>IFERROR(IF(AND(VLOOKUP(BH6,$NW$21:$NX$35,2,0)="Yes",NOT(ISNUMBER(VLOOKUP(DATE($A$2,$A$3+$A$1-1,BH5),HolidayList[Date],1,0)))),TRUE,FALSE),FALSE)</f>
        <v>0</v>
      </c>
      <c r="BI4" s="13" t="b">
        <f>IFERROR(IF(AND(VLOOKUP(BI6,$NW$21:$NX$35,2,0)="Yes",NOT(ISNUMBER(VLOOKUP(DATE($A$2,$A$3+$A$1-1,BI5),HolidayList[Date],1,0)))),TRUE,FALSE),FALSE)</f>
        <v>0</v>
      </c>
      <c r="BJ4" s="13" t="b">
        <f>IFERROR(IF(AND(VLOOKUP(BJ6,$NW$21:$NX$35,2,0)="Yes",NOT(ISNUMBER(VLOOKUP(DATE($A$2,$A$3+$A$1-1,BJ5),HolidayList[Date],1,0)))),TRUE,FALSE),FALSE)</f>
        <v>0</v>
      </c>
      <c r="BK4" s="13" t="b">
        <f>IFERROR(IF(AND(VLOOKUP(BK6,$NW$21:$NX$35,2,0)="Yes",NOT(ISNUMBER(VLOOKUP(DATE($A$2,$A$3+$A$1-1,BK5),HolidayList[Date],1,0)))),TRUE,FALSE),FALSE)</f>
        <v>0</v>
      </c>
      <c r="BL4" s="13" t="b">
        <f>IFERROR(IF(AND(VLOOKUP(BL6,$NW$21:$NX$35,2,0)="Yes",NOT(ISNUMBER(VLOOKUP(DATE($A$2,$A$3+$A$1-1,BL5),HolidayList[Date],1,0)))),TRUE,FALSE),FALSE)</f>
        <v>0</v>
      </c>
      <c r="BM4" s="13" t="b">
        <f>IFERROR(IF(AND(VLOOKUP(BM6,$NW$21:$NX$35,2,0)="Yes",NOT(ISNUMBER(VLOOKUP(DATE($A$2,$A$3+$A$1-1,BM5),HolidayList[Date],1,0)))),TRUE,FALSE),FALSE)</f>
        <v>0</v>
      </c>
      <c r="BN4" s="13" t="b">
        <f>IFERROR(IF(AND(VLOOKUP(BN6,$NW$21:$NX$35,2,0)="Yes",NOT(ISNUMBER(VLOOKUP(DATE($A$2,$A$3+$A$1-1,BN5),HolidayList[Date],1,0)))),TRUE,FALSE),FALSE)</f>
        <v>0</v>
      </c>
      <c r="BO4" s="13" t="b">
        <f>IFERROR(IF(AND(VLOOKUP(BO6,$NW$21:$NX$35,2,0)="Yes",NOT(ISNUMBER(VLOOKUP(DATE($A$2,$A$3+$A$1-1,BO5),HolidayList[Date],1,0)))),TRUE,FALSE),FALSE)</f>
        <v>0</v>
      </c>
      <c r="BP4" s="13" t="b">
        <f>IFERROR(IF(AND(VLOOKUP(BP6,$NW$21:$NX$35,2,0)="Yes",NOT(ISNUMBER(VLOOKUP(DATE($A$2,$A$3+$A$1-1,BP5),HolidayList[Date],1,0)))),TRUE,FALSE),FALSE)</f>
        <v>0</v>
      </c>
      <c r="BQ4" s="13" t="b">
        <f>IFERROR(IF(AND(VLOOKUP(BQ6,$NW$21:$NX$35,2,0)="Yes",NOT(ISNUMBER(VLOOKUP(DATE($A$2,$A$3+$A$1-1,BQ5),HolidayList[Date],1,0)))),TRUE,FALSE),FALSE)</f>
        <v>0</v>
      </c>
      <c r="BR4" s="13" t="b">
        <f>IFERROR(IF(AND(VLOOKUP(BR6,$NW$21:$NX$35,2,0)="Yes",NOT(ISNUMBER(VLOOKUP(DATE($A$2,$A$3+$A$1-1,BR5),HolidayList[Date],1,0)))),TRUE,FALSE),FALSE)</f>
        <v>0</v>
      </c>
      <c r="BS4" s="13" t="b">
        <f>IFERROR(IF(AND(VLOOKUP(BS6,$NW$21:$NX$35,2,0)="Yes",NOT(ISNUMBER(VLOOKUP(DATE($A$2,$A$3+$A$1-1,BS5),HolidayList[Date],1,0)))),TRUE,FALSE),FALSE)</f>
        <v>0</v>
      </c>
      <c r="BT4" s="13" t="b">
        <f>IFERROR(IF(AND(VLOOKUP(BT6,$NW$21:$NX$35,2,0)="Yes",NOT(ISNUMBER(VLOOKUP(DATE($A$2,$A$3+$A$1-1,BT5),HolidayList[Date],1,0)))),TRUE,FALSE),FALSE)</f>
        <v>0</v>
      </c>
      <c r="BU4" s="13" t="b">
        <f>IFERROR(IF(AND(VLOOKUP(BU6,$NW$21:$NX$35,2,0)="Yes",NOT(ISNUMBER(VLOOKUP(DATE($A$2,$A$3+$A$1-1,BU5),HolidayList[Date],1,0)))),TRUE,FALSE),FALSE)</f>
        <v>0</v>
      </c>
      <c r="BV4" s="13" t="b">
        <f>IFERROR(IF(AND(VLOOKUP(BV6,$NW$21:$NX$35,2,0)="Yes",NOT(ISNUMBER(VLOOKUP(DATE($A$2,$A$3+$A$1-1,BV5),HolidayList[Date],1,0)))),TRUE,FALSE),FALSE)</f>
        <v>0</v>
      </c>
      <c r="BW4" s="13" t="b">
        <f>IFERROR(IF(AND(VLOOKUP(BW6,$NW$21:$NX$35,2,0)="Yes",NOT(ISNUMBER(VLOOKUP(DATE($A$2,$A$3+$A$1-1,BW5),HolidayList[Date],1,0)))),TRUE,FALSE),FALSE)</f>
        <v>0</v>
      </c>
      <c r="BX4" s="13" t="b">
        <f>IFERROR(IF(AND(VLOOKUP(BX6,$NW$21:$NX$35,2,0)="Yes",NOT(ISNUMBER(VLOOKUP(DATE($A$2,$A$3+$A$1-1,BX5),HolidayList[Date],1,0)))),TRUE,FALSE),FALSE)</f>
        <v>0</v>
      </c>
      <c r="BY4" s="13" t="b">
        <f>IFERROR(IF(AND(VLOOKUP(BY6,$NW$21:$NX$35,2,0)="Yes",NOT(ISNUMBER(VLOOKUP(DATE($A$2,$A$3+$A$1-1,BY5),HolidayList[Date],1,0)))),TRUE,FALSE),FALSE)</f>
        <v>0</v>
      </c>
      <c r="BZ4" s="13" t="b">
        <f>IFERROR(IF(AND(VLOOKUP(BZ6,$NW$21:$NX$35,2,0)="Yes",NOT(ISNUMBER(VLOOKUP(DATE($A$2,$A$3+$A$1-1,BZ5),HolidayList[Date],1,0)))),TRUE,FALSE),FALSE)</f>
        <v>0</v>
      </c>
      <c r="CA4" s="13" t="b">
        <f>IFERROR(IF(AND(VLOOKUP(CA6,$NW$21:$NX$35,2,0)="Yes",NOT(ISNUMBER(VLOOKUP(DATE($A$2,$A$3+$A$1-1,CA5),HolidayList[Date],1,0)))),TRUE,FALSE),FALSE)</f>
        <v>0</v>
      </c>
      <c r="CB4" s="13" t="b">
        <f>IFERROR(IF(AND(VLOOKUP(CB6,$NW$21:$NX$35,2,0)="Yes",NOT(ISNUMBER(VLOOKUP(DATE($A$2,$A$3+$A$1-1,CB5),HolidayList[Date],1,0)))),TRUE,FALSE),FALSE)</f>
        <v>0</v>
      </c>
      <c r="CC4" s="13" t="b">
        <f>IFERROR(IF(AND(VLOOKUP(CC6,$NW$21:$NX$35,2,0)="Yes",NOT(ISNUMBER(VLOOKUP(DATE($A$2,$A$3+$A$1-1,CC5),HolidayList[Date],1,0)))),TRUE,FALSE),FALSE)</f>
        <v>0</v>
      </c>
      <c r="CD4" s="13" t="b">
        <f>IFERROR(IF(AND(VLOOKUP(CD6,$NW$21:$NX$35,2,0)="Yes",NOT(ISNUMBER(VLOOKUP(DATE($A$2,$A$3+$A$1-1,CD5),HolidayList[Date],1,0)))),TRUE,FALSE),FALSE)</f>
        <v>0</v>
      </c>
      <c r="CE4" s="13" t="b">
        <f>IFERROR(IF(AND(VLOOKUP(CE6,$NW$21:$NX$35,2,0)="Yes",NOT(ISNUMBER(VLOOKUP(DATE($A$2,$A$3+$A$1-1,CE5),HolidayList[Date],1,0)))),TRUE,FALSE),FALSE)</f>
        <v>0</v>
      </c>
      <c r="CF4" s="13" t="b">
        <f>IFERROR(IF(AND(VLOOKUP(CF6,$NW$21:$NX$35,2,0)="Yes",NOT(ISNUMBER(VLOOKUP(DATE($A$2,$A$3+$A$1-1,CF5),HolidayList[Date],1,0)))),TRUE,FALSE),FALSE)</f>
        <v>0</v>
      </c>
      <c r="CG4" s="13" t="b">
        <f>IFERROR(IF(AND(VLOOKUP(CG6,$NW$21:$NX$35,2,0)="Yes",NOT(ISNUMBER(VLOOKUP(DATE($A$2,$A$3+$A$1-1,CG5),HolidayList[Date],1,0)))),TRUE,FALSE),FALSE)</f>
        <v>0</v>
      </c>
      <c r="CH4" s="13" t="b">
        <f>IFERROR(IF(AND(VLOOKUP(CH6,$NW$21:$NX$35,2,0)="Yes",NOT(ISNUMBER(VLOOKUP(DATE($A$2,$A$3+$A$1-1,CH5),HolidayList[Date],1,0)))),TRUE,FALSE),FALSE)</f>
        <v>0</v>
      </c>
      <c r="CI4" s="13" t="b">
        <f>IFERROR(IF(AND(VLOOKUP(CI6,$NW$21:$NX$35,2,0)="Yes",NOT(ISNUMBER(VLOOKUP(DATE($A$2,$A$3+$A$1-1,CI5),HolidayList[Date],1,0)))),TRUE,FALSE),FALSE)</f>
        <v>0</v>
      </c>
      <c r="CJ4" s="13" t="b">
        <f>IFERROR(IF(AND(VLOOKUP(CJ6,$NW$21:$NX$35,2,0)="Yes",NOT(ISNUMBER(VLOOKUP(DATE($A$2,$A$3+$A$1-1,CJ5),HolidayList[Date],1,0)))),TRUE,FALSE),FALSE)</f>
        <v>0</v>
      </c>
      <c r="CK4" s="13" t="b">
        <f>IFERROR(IF(AND(VLOOKUP(CK6,$NW$21:$NX$35,2,0)="Yes",NOT(ISNUMBER(VLOOKUP(DATE($A$2,$A$3+$A$1-1,CK5),HolidayList[Date],1,0)))),TRUE,FALSE),FALSE)</f>
        <v>0</v>
      </c>
      <c r="CL4" s="13" t="b">
        <f>IFERROR(IF(AND(VLOOKUP(CL6,$NW$21:$NX$35,2,0)="Yes",NOT(ISNUMBER(VLOOKUP(DATE($A$2,$A$3+$A$1-1,CL5),HolidayList[Date],1,0)))),TRUE,FALSE),FALSE)</f>
        <v>0</v>
      </c>
      <c r="CM4" s="13" t="b">
        <f>IFERROR(IF(AND(VLOOKUP(CM6,$NW$21:$NX$35,2,0)="Yes",NOT(ISNUMBER(VLOOKUP(DATE($A$2,$A$3+$A$1-1,CM5),HolidayList[Date],1,0)))),TRUE,FALSE),FALSE)</f>
        <v>0</v>
      </c>
      <c r="CN4" s="13" t="b">
        <f>IFERROR(IF(AND(VLOOKUP(CN6,$NW$21:$NX$35,2,0)="Yes",NOT(ISNUMBER(VLOOKUP(DATE($A$2,$A$3+$A$1-1,CN5),HolidayList[Date],1,0)))),TRUE,FALSE),FALSE)</f>
        <v>0</v>
      </c>
      <c r="CO4" s="13" t="b">
        <f>IFERROR(IF(AND(VLOOKUP(CO6,$NW$21:$NX$35,2,0)="Yes",NOT(ISNUMBER(VLOOKUP(DATE($A$2,$A$3+$A$1-1,CO5),HolidayList[Date],1,0)))),TRUE,FALSE),FALSE)</f>
        <v>0</v>
      </c>
      <c r="CP4" s="13" t="b">
        <f>IFERROR(IF(AND(VLOOKUP(CP6,$NW$21:$NX$35,2,0)="Yes",NOT(ISNUMBER(VLOOKUP(DATE($A$2,$A$3+$A$1-1,CP5),HolidayList[Date],1,0)))),TRUE,FALSE),FALSE)</f>
        <v>0</v>
      </c>
      <c r="CQ4" s="13"/>
      <c r="CR4" s="13" t="b">
        <f>IFERROR(IF(AND(VLOOKUP(CR6,$NW$21:$NX$35,2,0)="Yes",NOT(ISNUMBER(VLOOKUP(DATE($A$2,$A$3+$A$1-1,CR5),HolidayList[Date],1,0)))),TRUE,FALSE),FALSE)</f>
        <v>0</v>
      </c>
      <c r="CS4" s="13" t="b">
        <f>IFERROR(IF(AND(VLOOKUP(CS6,$NW$21:$NX$35,2,0)="Yes",NOT(ISNUMBER(VLOOKUP(DATE($A$2,$A$3+$A$1-1,CS5),HolidayList[Date],1,0)))),TRUE,FALSE),FALSE)</f>
        <v>0</v>
      </c>
      <c r="CT4" s="13" t="b">
        <f>IFERROR(IF(AND(VLOOKUP(CT6,$NW$21:$NX$35,2,0)="Yes",NOT(ISNUMBER(VLOOKUP(DATE($A$2,$A$3+$A$1-1,CT5),HolidayList[Date],1,0)))),TRUE,FALSE),FALSE)</f>
        <v>0</v>
      </c>
      <c r="CU4" s="13" t="b">
        <f>IFERROR(IF(AND(VLOOKUP(CU6,$NW$21:$NX$35,2,0)="Yes",NOT(ISNUMBER(VLOOKUP(DATE($A$2,$A$3+$A$1-1,CU5),HolidayList[Date],1,0)))),TRUE,FALSE),FALSE)</f>
        <v>0</v>
      </c>
      <c r="CV4" s="13" t="b">
        <f>IFERROR(IF(AND(VLOOKUP(CV6,$NW$21:$NX$35,2,0)="Yes",NOT(ISNUMBER(VLOOKUP(DATE($A$2,$A$3+$A$1-1,CV5),HolidayList[Date],1,0)))),TRUE,FALSE),FALSE)</f>
        <v>0</v>
      </c>
      <c r="CW4" s="13" t="b">
        <f>IFERROR(IF(AND(VLOOKUP(CW6,$NW$21:$NX$35,2,0)="Yes",NOT(ISNUMBER(VLOOKUP(DATE($A$2,$A$3+$A$1-1,CW5),HolidayList[Date],1,0)))),TRUE,FALSE),FALSE)</f>
        <v>0</v>
      </c>
      <c r="CX4" s="13" t="b">
        <f>IFERROR(IF(AND(VLOOKUP(CX6,$NW$21:$NX$35,2,0)="Yes",NOT(ISNUMBER(VLOOKUP(DATE($A$2,$A$3+$A$1-1,CX5),HolidayList[Date],1,0)))),TRUE,FALSE),FALSE)</f>
        <v>0</v>
      </c>
      <c r="CY4" s="13" t="b">
        <f>IFERROR(IF(AND(VLOOKUP(CY6,$NW$21:$NX$35,2,0)="Yes",NOT(ISNUMBER(VLOOKUP(DATE($A$2,$A$3+$A$1-1,CY5),HolidayList[Date],1,0)))),TRUE,FALSE),FALSE)</f>
        <v>0</v>
      </c>
      <c r="CZ4" s="13" t="b">
        <f>IFERROR(IF(AND(VLOOKUP(CZ6,$NW$21:$NX$35,2,0)="Yes",NOT(ISNUMBER(VLOOKUP(DATE($A$2,$A$3+$A$1-1,CZ5),HolidayList[Date],1,0)))),TRUE,FALSE),FALSE)</f>
        <v>0</v>
      </c>
      <c r="DA4" s="13" t="b">
        <f>IFERROR(IF(AND(VLOOKUP(DA6,$NW$21:$NX$35,2,0)="Yes",NOT(ISNUMBER(VLOOKUP(DATE($A$2,$A$3+$A$1-1,DA5),HolidayList[Date],1,0)))),TRUE,FALSE),FALSE)</f>
        <v>0</v>
      </c>
      <c r="DB4" s="13" t="b">
        <f>IFERROR(IF(AND(VLOOKUP(DB6,$NW$21:$NX$35,2,0)="Yes",NOT(ISNUMBER(VLOOKUP(DATE($A$2,$A$3+$A$1-1,DB5),HolidayList[Date],1,0)))),TRUE,FALSE),FALSE)</f>
        <v>0</v>
      </c>
      <c r="DC4" s="13" t="b">
        <f>IFERROR(IF(AND(VLOOKUP(DC6,$NW$21:$NX$35,2,0)="Yes",NOT(ISNUMBER(VLOOKUP(DATE($A$2,$A$3+$A$1-1,DC5),HolidayList[Date],1,0)))),TRUE,FALSE),FALSE)</f>
        <v>0</v>
      </c>
      <c r="DD4" s="13" t="b">
        <f>IFERROR(IF(AND(VLOOKUP(DD6,$NW$21:$NX$35,2,0)="Yes",NOT(ISNUMBER(VLOOKUP(DATE($A$2,$A$3+$A$1-1,DD5),HolidayList[Date],1,0)))),TRUE,FALSE),FALSE)</f>
        <v>0</v>
      </c>
      <c r="DE4" s="13" t="b">
        <f>IFERROR(IF(AND(VLOOKUP(DE6,$NW$21:$NX$35,2,0)="Yes",NOT(ISNUMBER(VLOOKUP(DATE($A$2,$A$3+$A$1-1,DE5),HolidayList[Date],1,0)))),TRUE,FALSE),FALSE)</f>
        <v>0</v>
      </c>
      <c r="DF4" s="13" t="b">
        <f>IFERROR(IF(AND(VLOOKUP(DF6,$NW$21:$NX$35,2,0)="Yes",NOT(ISNUMBER(VLOOKUP(DATE($A$2,$A$3+$A$1-1,DF5),HolidayList[Date],1,0)))),TRUE,FALSE),FALSE)</f>
        <v>0</v>
      </c>
      <c r="DG4" s="13" t="b">
        <f>IFERROR(IF(AND(VLOOKUP(DG6,$NW$21:$NX$35,2,0)="Yes",NOT(ISNUMBER(VLOOKUP(DATE($A$2,$A$3+$A$1-1,DG5),HolidayList[Date],1,0)))),TRUE,FALSE),FALSE)</f>
        <v>0</v>
      </c>
      <c r="DH4" s="13" t="b">
        <f>IFERROR(IF(AND(VLOOKUP(DH6,$NW$21:$NX$35,2,0)="Yes",NOT(ISNUMBER(VLOOKUP(DATE($A$2,$A$3+$A$1-1,DH5),HolidayList[Date],1,0)))),TRUE,FALSE),FALSE)</f>
        <v>0</v>
      </c>
      <c r="DI4" s="13" t="b">
        <f>IFERROR(IF(AND(VLOOKUP(DI6,$NW$21:$NX$35,2,0)="Yes",NOT(ISNUMBER(VLOOKUP(DATE($A$2,$A$3+$A$1-1,DI5),HolidayList[Date],1,0)))),TRUE,FALSE),FALSE)</f>
        <v>0</v>
      </c>
      <c r="DJ4" s="13" t="b">
        <f>IFERROR(IF(AND(VLOOKUP(DJ6,$NW$21:$NX$35,2,0)="Yes",NOT(ISNUMBER(VLOOKUP(DATE($A$2,$A$3+$A$1-1,DJ5),HolidayList[Date],1,0)))),TRUE,FALSE),FALSE)</f>
        <v>0</v>
      </c>
      <c r="DK4" s="13" t="b">
        <f>IFERROR(IF(AND(VLOOKUP(DK6,$NW$21:$NX$35,2,0)="Yes",NOT(ISNUMBER(VLOOKUP(DATE($A$2,$A$3+$A$1-1,DK5),HolidayList[Date],1,0)))),TRUE,FALSE),FALSE)</f>
        <v>0</v>
      </c>
      <c r="DL4" s="13" t="b">
        <f>IFERROR(IF(AND(VLOOKUP(DL6,$NW$21:$NX$35,2,0)="Yes",NOT(ISNUMBER(VLOOKUP(DATE($A$2,$A$3+$A$1-1,DL5),HolidayList[Date],1,0)))),TRUE,FALSE),FALSE)</f>
        <v>0</v>
      </c>
      <c r="DM4" s="13" t="b">
        <f>IFERROR(IF(AND(VLOOKUP(DM6,$NW$21:$NX$35,2,0)="Yes",NOT(ISNUMBER(VLOOKUP(DATE($A$2,$A$3+$A$1-1,DM5),HolidayList[Date],1,0)))),TRUE,FALSE),FALSE)</f>
        <v>0</v>
      </c>
      <c r="DN4" s="13" t="b">
        <f>IFERROR(IF(AND(VLOOKUP(DN6,$NW$21:$NX$35,2,0)="Yes",NOT(ISNUMBER(VLOOKUP(DATE($A$2,$A$3+$A$1-1,DN5),HolidayList[Date],1,0)))),TRUE,FALSE),FALSE)</f>
        <v>0</v>
      </c>
      <c r="DO4" s="13" t="b">
        <f>IFERROR(IF(AND(VLOOKUP(DO6,$NW$21:$NX$35,2,0)="Yes",NOT(ISNUMBER(VLOOKUP(DATE($A$2,$A$3+$A$1-1,DO5),HolidayList[Date],1,0)))),TRUE,FALSE),FALSE)</f>
        <v>0</v>
      </c>
      <c r="DP4" s="13" t="b">
        <f>IFERROR(IF(AND(VLOOKUP(DP6,$NW$21:$NX$35,2,0)="Yes",NOT(ISNUMBER(VLOOKUP(DATE($A$2,$A$3+$A$1-1,DP5),HolidayList[Date],1,0)))),TRUE,FALSE),FALSE)</f>
        <v>0</v>
      </c>
      <c r="DQ4" s="13" t="b">
        <f>IFERROR(IF(AND(VLOOKUP(DQ6,$NW$21:$NX$35,2,0)="Yes",NOT(ISNUMBER(VLOOKUP(DATE($A$2,$A$3+$A$1-1,DQ5),HolidayList[Date],1,0)))),TRUE,FALSE),FALSE)</f>
        <v>0</v>
      </c>
      <c r="DR4" s="13" t="b">
        <f>IFERROR(IF(AND(VLOOKUP(DR6,$NW$21:$NX$35,2,0)="Yes",NOT(ISNUMBER(VLOOKUP(DATE($A$2,$A$3+$A$1-1,DR5),HolidayList[Date],1,0)))),TRUE,FALSE),FALSE)</f>
        <v>0</v>
      </c>
      <c r="DS4" s="13" t="b">
        <f>IFERROR(IF(AND(VLOOKUP(DS6,$NW$21:$NX$35,2,0)="Yes",NOT(ISNUMBER(VLOOKUP(DATE($A$2,$A$3+$A$1-1,DS5),HolidayList[Date],1,0)))),TRUE,FALSE),FALSE)</f>
        <v>0</v>
      </c>
      <c r="DT4" s="13" t="b">
        <f>IFERROR(IF(AND(VLOOKUP(DT6,$NW$21:$NX$35,2,0)="Yes",NOT(ISNUMBER(VLOOKUP(DATE($A$2,$A$3+$A$1-1,DT5),HolidayList[Date],1,0)))),TRUE,FALSE),FALSE)</f>
        <v>0</v>
      </c>
      <c r="DU4" s="13" t="b">
        <f>IFERROR(IF(AND(VLOOKUP(DU6,$NW$21:$NX$35,2,0)="Yes",NOT(ISNUMBER(VLOOKUP(DATE($A$2,$A$3+$A$1-1,DU5),HolidayList[Date],1,0)))),TRUE,FALSE),FALSE)</f>
        <v>0</v>
      </c>
      <c r="DV4" s="13" t="b">
        <f>IFERROR(IF(AND(VLOOKUP(DV6,$NW$21:$NX$35,2,0)="Yes",NOT(ISNUMBER(VLOOKUP(DATE($A$2,$A$3+$A$1-1,DV5),HolidayList[Date],1,0)))),TRUE,FALSE),FALSE)</f>
        <v>0</v>
      </c>
      <c r="DW4" s="13" t="b">
        <f>IFERROR(IF(AND(VLOOKUP(DW6,$NW$21:$NX$35,2,0)="Yes",NOT(ISNUMBER(VLOOKUP(DATE($A$2,$A$3+$A$1-1,DW5),HolidayList[Date],1,0)))),TRUE,FALSE),FALSE)</f>
        <v>0</v>
      </c>
      <c r="DX4" s="13" t="b">
        <f>IFERROR(IF(AND(VLOOKUP(DX6,$NW$21:$NX$35,2,0)="Yes",NOT(ISNUMBER(VLOOKUP(DATE($A$2,$A$3+$A$1-1,DX5),HolidayList[Date],1,0)))),TRUE,FALSE),FALSE)</f>
        <v>0</v>
      </c>
      <c r="DY4" s="13" t="b">
        <f>IFERROR(IF(AND(VLOOKUP(DY6,$NW$21:$NX$35,2,0)="Yes",NOT(ISNUMBER(VLOOKUP(DATE($A$2,$A$3+$A$1-1,DY5),HolidayList[Date],1,0)))),TRUE,FALSE),FALSE)</f>
        <v>0</v>
      </c>
      <c r="DZ4" s="13" t="b">
        <f>IFERROR(IF(AND(VLOOKUP(DZ6,$NW$21:$NX$35,2,0)="Yes",NOT(ISNUMBER(VLOOKUP(DATE($A$2,$A$3+$A$1-1,DZ5),HolidayList[Date],1,0)))),TRUE,FALSE),FALSE)</f>
        <v>0</v>
      </c>
      <c r="EA4" s="13" t="b">
        <f>IFERROR(IF(AND(VLOOKUP(EA6,$NW$21:$NX$35,2,0)="Yes",NOT(ISNUMBER(VLOOKUP(DATE($A$2,$A$3+$A$1-1,EA5),HolidayList[Date],1,0)))),TRUE,FALSE),FALSE)</f>
        <v>0</v>
      </c>
      <c r="EB4" s="13" t="b">
        <f>IFERROR(IF(AND(VLOOKUP(EB6,$NW$21:$NX$35,2,0)="Yes",NOT(ISNUMBER(VLOOKUP(DATE($A$2,$A$3+$A$1-1,EB5),HolidayList[Date],1,0)))),TRUE,FALSE),FALSE)</f>
        <v>0</v>
      </c>
      <c r="EC4" s="13" t="b">
        <f>IFERROR(IF(AND(VLOOKUP(EC6,$NW$21:$NX$35,2,0)="Yes",NOT(ISNUMBER(VLOOKUP(DATE($A$2,$A$3+$A$1-1,EC5),HolidayList[Date],1,0)))),TRUE,FALSE),FALSE)</f>
        <v>0</v>
      </c>
      <c r="ED4" s="13" t="b">
        <f>IFERROR(IF(AND(VLOOKUP(ED6,$NW$21:$NX$35,2,0)="Yes",NOT(ISNUMBER(VLOOKUP(DATE($A$2,$A$3+$A$1-1,ED5),HolidayList[Date],1,0)))),TRUE,FALSE),FALSE)</f>
        <v>0</v>
      </c>
      <c r="EE4" s="13" t="b">
        <f>IFERROR(IF(AND(VLOOKUP(EE6,$NW$21:$NX$35,2,0)="Yes",NOT(ISNUMBER(VLOOKUP(DATE($A$2,$A$3+$A$1-1,EE5),HolidayList[Date],1,0)))),TRUE,FALSE),FALSE)</f>
        <v>0</v>
      </c>
      <c r="EF4" s="13" t="b">
        <f>IFERROR(IF(AND(VLOOKUP(EF6,$NW$21:$NX$35,2,0)="Yes",NOT(ISNUMBER(VLOOKUP(DATE($A$2,$A$3+$A$1-1,EF5),HolidayList[Date],1,0)))),TRUE,FALSE),FALSE)</f>
        <v>0</v>
      </c>
      <c r="EG4" s="13" t="b">
        <f>IFERROR(IF(AND(VLOOKUP(EG6,$NW$21:$NX$35,2,0)="Yes",NOT(ISNUMBER(VLOOKUP(DATE($A$2,$A$3+$A$1-1,EG5),HolidayList[Date],1,0)))),TRUE,FALSE),FALSE)</f>
        <v>0</v>
      </c>
      <c r="EH4" s="13" t="b">
        <f>IFERROR(IF(AND(VLOOKUP(EH6,$NW$21:$NX$35,2,0)="Yes",NOT(ISNUMBER(VLOOKUP(DATE($A$2,$A$3+$A$1-1,EH5),HolidayList[Date],1,0)))),TRUE,FALSE),FALSE)</f>
        <v>0</v>
      </c>
      <c r="EI4" s="13" t="b">
        <f>IFERROR(IF(AND(VLOOKUP(EI6,$NW$21:$NX$35,2,0)="Yes",NOT(ISNUMBER(VLOOKUP(DATE($A$2,$A$3+$A$1-1,EI5),HolidayList[Date],1,0)))),TRUE,FALSE),FALSE)</f>
        <v>0</v>
      </c>
      <c r="EJ4" s="13" t="b">
        <f>IFERROR(IF(AND(VLOOKUP(EJ6,$NW$21:$NX$35,2,0)="Yes",NOT(ISNUMBER(VLOOKUP(DATE($A$2,$A$3+$A$1-1,EJ5),HolidayList[Date],1,0)))),TRUE,FALSE),FALSE)</f>
        <v>0</v>
      </c>
      <c r="EK4" s="13" t="b">
        <f>IFERROR(IF(AND(VLOOKUP(EK6,$NW$21:$NX$35,2,0)="Yes",NOT(ISNUMBER(VLOOKUP(DATE($A$2,$A$3+$A$1-1,EK5),HolidayList[Date],1,0)))),TRUE,FALSE),FALSE)</f>
        <v>0</v>
      </c>
      <c r="EL4" s="13" t="b">
        <f>IFERROR(IF(AND(VLOOKUP(EL6,$NW$21:$NX$35,2,0)="Yes",NOT(ISNUMBER(VLOOKUP(DATE($A$2,$A$3+$A$1-1,EL5),HolidayList[Date],1,0)))),TRUE,FALSE),FALSE)</f>
        <v>0</v>
      </c>
      <c r="EM4" s="13" t="b">
        <f>IFERROR(IF(AND(VLOOKUP(EM6,$NW$21:$NX$35,2,0)="Yes",NOT(ISNUMBER(VLOOKUP(DATE($A$2,$A$3+$A$1-1,EM5),HolidayList[Date],1,0)))),TRUE,FALSE),FALSE)</f>
        <v>0</v>
      </c>
      <c r="EN4" s="13" t="b">
        <f>IFERROR(IF(AND(VLOOKUP(EN6,$NW$21:$NX$35,2,0)="Yes",NOT(ISNUMBER(VLOOKUP(DATE($A$2,$A$3+$A$1-1,EN5),HolidayList[Date],1,0)))),TRUE,FALSE),FALSE)</f>
        <v>0</v>
      </c>
      <c r="EO4" s="13" t="b">
        <f>IFERROR(IF(AND(VLOOKUP(EO6,$NW$21:$NX$35,2,0)="Yes",NOT(ISNUMBER(VLOOKUP(DATE($A$2,$A$3+$A$1-1,EO5),HolidayList[Date],1,0)))),TRUE,FALSE),FALSE)</f>
        <v>0</v>
      </c>
      <c r="EP4" s="13" t="b">
        <f>IFERROR(IF(AND(VLOOKUP(EP6,$NW$21:$NX$35,2,0)="Yes",NOT(ISNUMBER(VLOOKUP(DATE($A$2,$A$3+$A$1-1,EP5),HolidayList[Date],1,0)))),TRUE,FALSE),FALSE)</f>
        <v>0</v>
      </c>
      <c r="EQ4" s="13" t="b">
        <f>IFERROR(IF(AND(VLOOKUP(EQ6,$NW$21:$NX$35,2,0)="Yes",NOT(ISNUMBER(VLOOKUP(DATE($A$2,$A$3+$A$1-1,EQ5),HolidayList[Date],1,0)))),TRUE,FALSE),FALSE)</f>
        <v>0</v>
      </c>
      <c r="ER4" s="13" t="b">
        <f>IFERROR(IF(AND(VLOOKUP(ER6,$NW$21:$NX$35,2,0)="Yes",NOT(ISNUMBER(VLOOKUP(DATE($A$2,$A$3+$A$1-1,ER5),HolidayList[Date],1,0)))),TRUE,FALSE),FALSE)</f>
        <v>0</v>
      </c>
      <c r="ES4" s="13" t="b">
        <f>IFERROR(IF(AND(VLOOKUP(ES6,$NW$21:$NX$35,2,0)="Yes",NOT(ISNUMBER(VLOOKUP(DATE($A$2,$A$3+$A$1-1,ES5),HolidayList[Date],1,0)))),TRUE,FALSE),FALSE)</f>
        <v>0</v>
      </c>
      <c r="ET4" s="13" t="b">
        <f>IFERROR(IF(AND(VLOOKUP(ET6,$NW$21:$NX$35,2,0)="Yes",NOT(ISNUMBER(VLOOKUP(DATE($A$2,$A$3+$A$1-1,ET5),HolidayList[Date],1,0)))),TRUE,FALSE),FALSE)</f>
        <v>0</v>
      </c>
      <c r="EU4" s="13" t="b">
        <f>IFERROR(IF(AND(VLOOKUP(EU6,$NW$21:$NX$35,2,0)="Yes",NOT(ISNUMBER(VLOOKUP(DATE($A$2,$A$3+$A$1-1,EU5),HolidayList[Date],1,0)))),TRUE,FALSE),FALSE)</f>
        <v>0</v>
      </c>
      <c r="EV4" s="13" t="b">
        <f>IFERROR(IF(AND(VLOOKUP(EV6,$NW$21:$NX$35,2,0)="Yes",NOT(ISNUMBER(VLOOKUP(DATE($A$2,$A$3+$A$1-1,EV5),HolidayList[Date],1,0)))),TRUE,FALSE),FALSE)</f>
        <v>0</v>
      </c>
      <c r="EW4" s="13" t="b">
        <f>IFERROR(IF(AND(VLOOKUP(EW6,$NW$21:$NX$35,2,0)="Yes",NOT(ISNUMBER(VLOOKUP(DATE($A$2,$A$3+$A$1-1,EW5),HolidayList[Date],1,0)))),TRUE,FALSE),FALSE)</f>
        <v>0</v>
      </c>
      <c r="EX4" s="13" t="b">
        <f>IFERROR(IF(AND(VLOOKUP(EX6,$NW$21:$NX$35,2,0)="Yes",NOT(ISNUMBER(VLOOKUP(DATE($A$2,$A$3+$A$1-1,EX5),HolidayList[Date],1,0)))),TRUE,FALSE),FALSE)</f>
        <v>0</v>
      </c>
      <c r="EY4" s="13" t="b">
        <f>IFERROR(IF(AND(VLOOKUP(EY6,$NW$21:$NX$35,2,0)="Yes",NOT(ISNUMBER(VLOOKUP(DATE($A$2,$A$3+$A$1-1,EY5),HolidayList[Date],1,0)))),TRUE,FALSE),FALSE)</f>
        <v>0</v>
      </c>
      <c r="EZ4" s="13" t="b">
        <f>IFERROR(IF(AND(VLOOKUP(EZ6,$NW$21:$NX$35,2,0)="Yes",NOT(ISNUMBER(VLOOKUP(DATE($A$2,$A$3+$A$1-1,EZ5),HolidayList[Date],1,0)))),TRUE,FALSE),FALSE)</f>
        <v>0</v>
      </c>
      <c r="FA4" s="13" t="b">
        <f>IFERROR(IF(AND(VLOOKUP(FA6,$NW$21:$NX$35,2,0)="Yes",NOT(ISNUMBER(VLOOKUP(DATE($A$2,$A$3+$A$1-1,FA5),HolidayList[Date],1,0)))),TRUE,FALSE),FALSE)</f>
        <v>0</v>
      </c>
      <c r="FB4" s="13" t="b">
        <f>IFERROR(IF(AND(VLOOKUP(FB6,$NW$21:$NX$35,2,0)="Yes",NOT(ISNUMBER(VLOOKUP(DATE($A$2,$A$3+$A$1-1,FB5),HolidayList[Date],1,0)))),TRUE,FALSE),FALSE)</f>
        <v>0</v>
      </c>
      <c r="FC4" s="13" t="b">
        <f>IFERROR(IF(AND(VLOOKUP(FC6,$NW$21:$NX$35,2,0)="Yes",NOT(ISNUMBER(VLOOKUP(DATE($A$2,$A$3+$A$1-1,FC5),HolidayList[Date],1,0)))),TRUE,FALSE),FALSE)</f>
        <v>0</v>
      </c>
      <c r="FD4" s="13" t="b">
        <f>IFERROR(IF(AND(VLOOKUP(FD6,$NW$21:$NX$35,2,0)="Yes",NOT(ISNUMBER(VLOOKUP(DATE($A$2,$A$3+$A$1-1,FD5),HolidayList[Date],1,0)))),TRUE,FALSE),FALSE)</f>
        <v>0</v>
      </c>
      <c r="FE4" s="13" t="b">
        <f>IFERROR(IF(AND(VLOOKUP(FE6,$NW$21:$NX$35,2,0)="Yes",NOT(ISNUMBER(VLOOKUP(DATE($A$2,$A$3+$A$1-1,FE5),HolidayList[Date],1,0)))),TRUE,FALSE),FALSE)</f>
        <v>0</v>
      </c>
      <c r="FF4" s="13" t="b">
        <f>IFERROR(IF(AND(VLOOKUP(FF6,$NW$21:$NX$35,2,0)="Yes",NOT(ISNUMBER(VLOOKUP(DATE($A$2,$A$3+$A$1-1,FF5),HolidayList[Date],1,0)))),TRUE,FALSE),FALSE)</f>
        <v>0</v>
      </c>
      <c r="FG4" s="13" t="b">
        <f>IFERROR(IF(AND(VLOOKUP(FG6,$NW$21:$NX$35,2,0)="Yes",NOT(ISNUMBER(VLOOKUP(DATE($A$2,$A$3+$A$1-1,FG5),HolidayList[Date],1,0)))),TRUE,FALSE),FALSE)</f>
        <v>0</v>
      </c>
      <c r="FH4" s="13" t="b">
        <f>IFERROR(IF(AND(VLOOKUP(FH6,$NW$21:$NX$35,2,0)="Yes",NOT(ISNUMBER(VLOOKUP(DATE($A$2,$A$3+$A$1-1,FH5),HolidayList[Date],1,0)))),TRUE,FALSE),FALSE)</f>
        <v>0</v>
      </c>
      <c r="FI4" s="13" t="b">
        <f>IFERROR(IF(AND(VLOOKUP(FI6,$NW$21:$NX$35,2,0)="Yes",NOT(ISNUMBER(VLOOKUP(DATE($A$2,$A$3+$A$1-1,FI5),HolidayList[Date],1,0)))),TRUE,FALSE),FALSE)</f>
        <v>0</v>
      </c>
      <c r="FJ4" s="13" t="b">
        <f>IFERROR(IF(AND(VLOOKUP(FJ6,$NW$21:$NX$35,2,0)="Yes",NOT(ISNUMBER(VLOOKUP(DATE($A$2,$A$3+$A$1-1,FJ5),HolidayList[Date],1,0)))),TRUE,FALSE),FALSE)</f>
        <v>0</v>
      </c>
      <c r="FK4" s="13" t="b">
        <f>IFERROR(IF(AND(VLOOKUP(FK6,$NW$21:$NX$35,2,0)="Yes",NOT(ISNUMBER(VLOOKUP(DATE($A$2,$A$3+$A$1-1,FK5),HolidayList[Date],1,0)))),TRUE,FALSE),FALSE)</f>
        <v>0</v>
      </c>
      <c r="FL4" s="13" t="b">
        <f>IFERROR(IF(AND(VLOOKUP(FL6,$NW$21:$NX$35,2,0)="Yes",NOT(ISNUMBER(VLOOKUP(DATE($A$2,$A$3+$A$1-1,FL5),HolidayList[Date],1,0)))),TRUE,FALSE),FALSE)</f>
        <v>0</v>
      </c>
      <c r="FM4" s="13" t="b">
        <f>IFERROR(IF(AND(VLOOKUP(FM6,$NW$21:$NX$35,2,0)="Yes",NOT(ISNUMBER(VLOOKUP(DATE($A$2,$A$3+$A$1-1,FM5),HolidayList[Date],1,0)))),TRUE,FALSE),FALSE)</f>
        <v>0</v>
      </c>
      <c r="FN4" s="13" t="b">
        <f>IFERROR(IF(AND(VLOOKUP(FN6,$NW$21:$NX$35,2,0)="Yes",NOT(ISNUMBER(VLOOKUP(DATE($A$2,$A$3+$A$1-1,FN5),HolidayList[Date],1,0)))),TRUE,FALSE),FALSE)</f>
        <v>0</v>
      </c>
      <c r="FO4" s="13" t="b">
        <f>IFERROR(IF(AND(VLOOKUP(FO6,$NW$21:$NX$35,2,0)="Yes",NOT(ISNUMBER(VLOOKUP(DATE($A$2,$A$3+$A$1-1,FO5),HolidayList[Date],1,0)))),TRUE,FALSE),FALSE)</f>
        <v>0</v>
      </c>
      <c r="FP4" s="13" t="b">
        <f>IFERROR(IF(AND(VLOOKUP(FP6,$NW$21:$NX$35,2,0)="Yes",NOT(ISNUMBER(VLOOKUP(DATE($A$2,$A$3+$A$1-1,FP5),HolidayList[Date],1,0)))),TRUE,FALSE),FALSE)</f>
        <v>0</v>
      </c>
      <c r="FQ4" s="13" t="b">
        <f>IFERROR(IF(AND(VLOOKUP(FQ6,$NW$21:$NX$35,2,0)="Yes",NOT(ISNUMBER(VLOOKUP(DATE($A$2,$A$3+$A$1-1,FQ5),HolidayList[Date],1,0)))),TRUE,FALSE),FALSE)</f>
        <v>0</v>
      </c>
      <c r="FR4" s="13" t="b">
        <f>IFERROR(IF(AND(VLOOKUP(FR6,$NW$21:$NX$35,2,0)="Yes",NOT(ISNUMBER(VLOOKUP(DATE($A$2,$A$3+$A$1-1,FR5),HolidayList[Date],1,0)))),TRUE,FALSE),FALSE)</f>
        <v>0</v>
      </c>
      <c r="FS4" s="13" t="b">
        <f>IFERROR(IF(AND(VLOOKUP(FS6,$NW$21:$NX$35,2,0)="Yes",NOT(ISNUMBER(VLOOKUP(DATE($A$2,$A$3+$A$1-1,FS5),HolidayList[Date],1,0)))),TRUE,FALSE),FALSE)</f>
        <v>0</v>
      </c>
      <c r="FT4" s="13" t="b">
        <f>IFERROR(IF(AND(VLOOKUP(FT6,$NW$21:$NX$35,2,0)="Yes",NOT(ISNUMBER(VLOOKUP(DATE($A$2,$A$3+$A$1-1,FT5),HolidayList[Date],1,0)))),TRUE,FALSE),FALSE)</f>
        <v>0</v>
      </c>
      <c r="FU4" s="13" t="b">
        <f>IFERROR(IF(AND(VLOOKUP(FU6,$NW$21:$NX$35,2,0)="Yes",NOT(ISNUMBER(VLOOKUP(DATE($A$2,$A$3+$A$1-1,FU5),HolidayList[Date],1,0)))),TRUE,FALSE),FALSE)</f>
        <v>0</v>
      </c>
      <c r="FV4" s="13" t="b">
        <f>IFERROR(IF(AND(VLOOKUP(FV6,$NW$21:$NX$35,2,0)="Yes",NOT(ISNUMBER(VLOOKUP(DATE($A$2,$A$3+$A$1-1,FV5),HolidayList[Date],1,0)))),TRUE,FALSE),FALSE)</f>
        <v>0</v>
      </c>
      <c r="FW4" s="13" t="b">
        <f>IFERROR(IF(AND(VLOOKUP(FW6,$NW$21:$NX$35,2,0)="Yes",NOT(ISNUMBER(VLOOKUP(DATE($A$2,$A$3+$A$1-1,FW5),HolidayList[Date],1,0)))),TRUE,FALSE),FALSE)</f>
        <v>0</v>
      </c>
      <c r="FX4" s="13" t="b">
        <f>IFERROR(IF(AND(VLOOKUP(FX6,$NW$21:$NX$35,2,0)="Yes",NOT(ISNUMBER(VLOOKUP(DATE($A$2,$A$3+$A$1-1,FX5),HolidayList[Date],1,0)))),TRUE,FALSE),FALSE)</f>
        <v>0</v>
      </c>
      <c r="FY4" s="13" t="b">
        <f>IFERROR(IF(AND(VLOOKUP(FY6,$NW$21:$NX$35,2,0)="Yes",NOT(ISNUMBER(VLOOKUP(DATE($A$2,$A$3+$A$1-1,FY5),HolidayList[Date],1,0)))),TRUE,FALSE),FALSE)</f>
        <v>0</v>
      </c>
      <c r="FZ4" s="13" t="b">
        <f>IFERROR(IF(AND(VLOOKUP(FZ6,$NW$21:$NX$35,2,0)="Yes",NOT(ISNUMBER(VLOOKUP(DATE($A$2,$A$3+$A$1-1,FZ5),HolidayList[Date],1,0)))),TRUE,FALSE),FALSE)</f>
        <v>0</v>
      </c>
      <c r="GA4" s="13" t="b">
        <f>IFERROR(IF(AND(VLOOKUP(GA6,$NW$21:$NX$35,2,0)="Yes",NOT(ISNUMBER(VLOOKUP(DATE($A$2,$A$3+$A$1-1,GA5),HolidayList[Date],1,0)))),TRUE,FALSE),FALSE)</f>
        <v>0</v>
      </c>
      <c r="GB4" s="13" t="b">
        <f>IFERROR(IF(AND(VLOOKUP(GB6,$NW$21:$NX$35,2,0)="Yes",NOT(ISNUMBER(VLOOKUP(DATE($A$2,$A$3+$A$1-1,GB5),HolidayList[Date],1,0)))),TRUE,FALSE),FALSE)</f>
        <v>0</v>
      </c>
      <c r="GC4" s="13" t="b">
        <f>IFERROR(IF(AND(VLOOKUP(GC6,$NW$21:$NX$35,2,0)="Yes",NOT(ISNUMBER(VLOOKUP(DATE($A$2,$A$3+$A$1-1,GC5),HolidayList[Date],1,0)))),TRUE,FALSE),FALSE)</f>
        <v>0</v>
      </c>
      <c r="GD4" s="13" t="b">
        <f>IFERROR(IF(AND(VLOOKUP(GD6,$NW$21:$NX$35,2,0)="Yes",NOT(ISNUMBER(VLOOKUP(DATE($A$2,$A$3+$A$1-1,GD5),HolidayList[Date],1,0)))),TRUE,FALSE),FALSE)</f>
        <v>0</v>
      </c>
      <c r="GE4" s="13" t="b">
        <f>IFERROR(IF(AND(VLOOKUP(GE6,$NW$21:$NX$35,2,0)="Yes",NOT(ISNUMBER(VLOOKUP(DATE($A$2,$A$3+$A$1-1,GE5),HolidayList[Date],1,0)))),TRUE,FALSE),FALSE)</f>
        <v>0</v>
      </c>
      <c r="GF4" s="13" t="b">
        <f>IFERROR(IF(AND(VLOOKUP(GF6,$NW$21:$NX$35,2,0)="Yes",NOT(ISNUMBER(VLOOKUP(DATE($A$2,$A$3+$A$1-1,GF5),HolidayList[Date],1,0)))),TRUE,FALSE),FALSE)</f>
        <v>0</v>
      </c>
      <c r="GG4" s="13" t="b">
        <f>IFERROR(IF(AND(VLOOKUP(GG6,$NW$21:$NX$35,2,0)="Yes",NOT(ISNUMBER(VLOOKUP(DATE($A$2,$A$3+$A$1-1,GG5),HolidayList[Date],1,0)))),TRUE,FALSE),FALSE)</f>
        <v>0</v>
      </c>
      <c r="GH4" s="13" t="b">
        <f>IFERROR(IF(AND(VLOOKUP(GH6,$NW$21:$NX$35,2,0)="Yes",NOT(ISNUMBER(VLOOKUP(DATE($A$2,$A$3+$A$1-1,GH5),HolidayList[Date],1,0)))),TRUE,FALSE),FALSE)</f>
        <v>0</v>
      </c>
      <c r="GI4" s="13" t="b">
        <f>IFERROR(IF(AND(VLOOKUP(GI6,$NW$21:$NX$35,2,0)="Yes",NOT(ISNUMBER(VLOOKUP(DATE($A$2,$A$3+$A$1-1,GI5),HolidayList[Date],1,0)))),TRUE,FALSE),FALSE)</f>
        <v>0</v>
      </c>
      <c r="GJ4" s="13" t="b">
        <f>IFERROR(IF(AND(VLOOKUP(GJ6,$NW$21:$NX$35,2,0)="Yes",NOT(ISNUMBER(VLOOKUP(DATE($A$2,$A$3+$A$1-1,GJ5),HolidayList[Date],1,0)))),TRUE,FALSE),FALSE)</f>
        <v>0</v>
      </c>
      <c r="GK4" s="13" t="b">
        <f>IFERROR(IF(AND(VLOOKUP(GK6,$NW$21:$NX$35,2,0)="Yes",NOT(ISNUMBER(VLOOKUP(DATE($A$2,$A$3+$A$1-1,GK5),HolidayList[Date],1,0)))),TRUE,FALSE),FALSE)</f>
        <v>0</v>
      </c>
      <c r="GL4" s="13" t="b">
        <f>IFERROR(IF(AND(VLOOKUP(GL6,$NW$21:$NX$35,2,0)="Yes",NOT(ISNUMBER(VLOOKUP(DATE($A$2,$A$3+$A$1-1,GL5),HolidayList[Date],1,0)))),TRUE,FALSE),FALSE)</f>
        <v>0</v>
      </c>
      <c r="GM4" s="13" t="b">
        <f>IFERROR(IF(AND(VLOOKUP(GM6,$NW$21:$NX$35,2,0)="Yes",NOT(ISNUMBER(VLOOKUP(DATE($A$2,$A$3+$A$1-1,GM5),HolidayList[Date],1,0)))),TRUE,FALSE),FALSE)</f>
        <v>0</v>
      </c>
      <c r="GN4" s="13" t="b">
        <f>IFERROR(IF(AND(VLOOKUP(GN6,$NW$21:$NX$35,2,0)="Yes",NOT(ISNUMBER(VLOOKUP(DATE($A$2,$A$3+$A$1-1,GN5),HolidayList[Date],1,0)))),TRUE,FALSE),FALSE)</f>
        <v>0</v>
      </c>
      <c r="GO4" s="13" t="b">
        <f>IFERROR(IF(AND(VLOOKUP(GO6,$NW$21:$NX$35,2,0)="Yes",NOT(ISNUMBER(VLOOKUP(DATE($A$2,$A$3+$A$1-1,GO5),HolidayList[Date],1,0)))),TRUE,FALSE),FALSE)</f>
        <v>0</v>
      </c>
      <c r="GP4" s="13" t="b">
        <f>IFERROR(IF(AND(VLOOKUP(GP6,$NW$21:$NX$35,2,0)="Yes",NOT(ISNUMBER(VLOOKUP(DATE($A$2,$A$3+$A$1-1,GP5),HolidayList[Date],1,0)))),TRUE,FALSE),FALSE)</f>
        <v>0</v>
      </c>
      <c r="GQ4" s="13" t="b">
        <f>IFERROR(IF(AND(VLOOKUP(GQ6,$NW$21:$NX$35,2,0)="Yes",NOT(ISNUMBER(VLOOKUP(DATE($A$2,$A$3+$A$1-1,GQ5),HolidayList[Date],1,0)))),TRUE,FALSE),FALSE)</f>
        <v>0</v>
      </c>
      <c r="GR4" s="13" t="b">
        <f>IFERROR(IF(AND(VLOOKUP(GR6,$NW$21:$NX$35,2,0)="Yes",NOT(ISNUMBER(VLOOKUP(DATE($A$2,$A$3+$A$1-1,GR5),HolidayList[Date],1,0)))),TRUE,FALSE),FALSE)</f>
        <v>0</v>
      </c>
      <c r="GS4" s="13" t="b">
        <f>IFERROR(IF(AND(VLOOKUP(GS6,$NW$21:$NX$35,2,0)="Yes",NOT(ISNUMBER(VLOOKUP(DATE($A$2,$A$3+$A$1-1,GS5),HolidayList[Date],1,0)))),TRUE,FALSE),FALSE)</f>
        <v>0</v>
      </c>
      <c r="GT4" s="13" t="b">
        <f>IFERROR(IF(AND(VLOOKUP(GT6,$NW$21:$NX$35,2,0)="Yes",NOT(ISNUMBER(VLOOKUP(DATE($A$2,$A$3+$A$1-1,GT5),HolidayList[Date],1,0)))),TRUE,FALSE),FALSE)</f>
        <v>0</v>
      </c>
      <c r="GU4" s="13" t="b">
        <f>IFERROR(IF(AND(VLOOKUP(GU6,$NW$21:$NX$35,2,0)="Yes",NOT(ISNUMBER(VLOOKUP(DATE($A$2,$A$3+$A$1-1,GU5),HolidayList[Date],1,0)))),TRUE,FALSE),FALSE)</f>
        <v>0</v>
      </c>
      <c r="GV4" s="13" t="b">
        <f>IFERROR(IF(AND(VLOOKUP(GV6,$NW$21:$NX$35,2,0)="Yes",NOT(ISNUMBER(VLOOKUP(DATE($A$2,$A$3+$A$1-1,GV5),HolidayList[Date],1,0)))),TRUE,FALSE),FALSE)</f>
        <v>0</v>
      </c>
      <c r="GW4" s="13" t="b">
        <f>IFERROR(IF(AND(VLOOKUP(GW6,$NW$21:$NX$35,2,0)="Yes",NOT(ISNUMBER(VLOOKUP(DATE($A$2,$A$3+$A$1-1,GW5),HolidayList[Date],1,0)))),TRUE,FALSE),FALSE)</f>
        <v>0</v>
      </c>
      <c r="GX4" s="13" t="b">
        <f>IFERROR(IF(AND(VLOOKUP(GX6,$NW$21:$NX$35,2,0)="Yes",NOT(ISNUMBER(VLOOKUP(DATE($A$2,$A$3+$A$1-1,GX5),HolidayList[Date],1,0)))),TRUE,FALSE),FALSE)</f>
        <v>0</v>
      </c>
      <c r="GY4" s="13" t="b">
        <f>IFERROR(IF(AND(VLOOKUP(GY6,$NW$21:$NX$35,2,0)="Yes",NOT(ISNUMBER(VLOOKUP(DATE($A$2,$A$3+$A$1-1,GY5),HolidayList[Date],1,0)))),TRUE,FALSE),FALSE)</f>
        <v>0</v>
      </c>
      <c r="GZ4" s="13" t="b">
        <f>IFERROR(IF(AND(VLOOKUP(GZ6,$NW$21:$NX$35,2,0)="Yes",NOT(ISNUMBER(VLOOKUP(DATE($A$2,$A$3+$A$1-1,GZ5),HolidayList[Date],1,0)))),TRUE,FALSE),FALSE)</f>
        <v>0</v>
      </c>
      <c r="HA4" s="13" t="b">
        <f>IFERROR(IF(AND(VLOOKUP(HA6,$NW$21:$NX$35,2,0)="Yes",NOT(ISNUMBER(VLOOKUP(DATE($A$2,$A$3+$A$1-1,HA5),HolidayList[Date],1,0)))),TRUE,FALSE),FALSE)</f>
        <v>0</v>
      </c>
      <c r="HB4" s="13" t="b">
        <f>IFERROR(IF(AND(VLOOKUP(HB6,$NW$21:$NX$35,2,0)="Yes",NOT(ISNUMBER(VLOOKUP(DATE($A$2,$A$3+$A$1-1,HB5),HolidayList[Date],1,0)))),TRUE,FALSE),FALSE)</f>
        <v>0</v>
      </c>
      <c r="HC4" s="13" t="b">
        <f>IFERROR(IF(AND(VLOOKUP(HC6,$NW$21:$NX$35,2,0)="Yes",NOT(ISNUMBER(VLOOKUP(DATE($A$2,$A$3+$A$1-1,HC5),HolidayList[Date],1,0)))),TRUE,FALSE),FALSE)</f>
        <v>0</v>
      </c>
      <c r="HD4" s="13" t="b">
        <f>IFERROR(IF(AND(VLOOKUP(HD6,$NW$21:$NX$35,2,0)="Yes",NOT(ISNUMBER(VLOOKUP(DATE($A$2,$A$3+$A$1-1,HD5),HolidayList[Date],1,0)))),TRUE,FALSE),FALSE)</f>
        <v>0</v>
      </c>
      <c r="HE4" s="13" t="b">
        <f>IFERROR(IF(AND(VLOOKUP(HE6,$NW$21:$NX$35,2,0)="Yes",NOT(ISNUMBER(VLOOKUP(DATE($A$2,$A$3+$A$1-1,HE5),HolidayList[Date],1,0)))),TRUE,FALSE),FALSE)</f>
        <v>0</v>
      </c>
      <c r="HF4" s="13" t="b">
        <f>IFERROR(IF(AND(VLOOKUP(HF6,$NW$21:$NX$35,2,0)="Yes",NOT(ISNUMBER(VLOOKUP(DATE($A$2,$A$3+$A$1-1,HF5),HolidayList[Date],1,0)))),TRUE,FALSE),FALSE)</f>
        <v>0</v>
      </c>
      <c r="HG4" s="13" t="b">
        <f>IFERROR(IF(AND(VLOOKUP(HG6,$NW$21:$NX$35,2,0)="Yes",NOT(ISNUMBER(VLOOKUP(DATE($A$2,$A$3+$A$1-1,HG5),HolidayList[Date],1,0)))),TRUE,FALSE),FALSE)</f>
        <v>0</v>
      </c>
      <c r="HH4" s="13" t="b">
        <f>IFERROR(IF(AND(VLOOKUP(HH6,$NW$21:$NX$35,2,0)="Yes",NOT(ISNUMBER(VLOOKUP(DATE($A$2,$A$3+$A$1-1,HH5),HolidayList[Date],1,0)))),TRUE,FALSE),FALSE)</f>
        <v>0</v>
      </c>
      <c r="HI4" s="13" t="b">
        <f>IFERROR(IF(AND(VLOOKUP(HI6,$NW$21:$NX$35,2,0)="Yes",NOT(ISNUMBER(VLOOKUP(DATE($A$2,$A$3+$A$1-1,HI5),HolidayList[Date],1,0)))),TRUE,FALSE),FALSE)</f>
        <v>0</v>
      </c>
      <c r="HJ4" s="13" t="b">
        <f>IFERROR(IF(AND(VLOOKUP(HJ6,$NW$21:$NX$35,2,0)="Yes",NOT(ISNUMBER(VLOOKUP(DATE($A$2,$A$3+$A$1-1,HJ5),HolidayList[Date],1,0)))),TRUE,FALSE),FALSE)</f>
        <v>0</v>
      </c>
      <c r="HK4" s="13" t="b">
        <f>IFERROR(IF(AND(VLOOKUP(HK6,$NW$21:$NX$35,2,0)="Yes",NOT(ISNUMBER(VLOOKUP(DATE($A$2,$A$3+$A$1-1,HK5),HolidayList[Date],1,0)))),TRUE,FALSE),FALSE)</f>
        <v>0</v>
      </c>
      <c r="HL4" s="13" t="b">
        <f>IFERROR(IF(AND(VLOOKUP(HL6,$NW$21:$NX$35,2,0)="Yes",NOT(ISNUMBER(VLOOKUP(DATE($A$2,$A$3+$A$1-1,HL5),HolidayList[Date],1,0)))),TRUE,FALSE),FALSE)</f>
        <v>0</v>
      </c>
      <c r="HM4" s="13" t="b">
        <f>IFERROR(IF(AND(VLOOKUP(HM6,$NW$21:$NX$35,2,0)="Yes",NOT(ISNUMBER(VLOOKUP(DATE($A$2,$A$3+$A$1-1,HM5),HolidayList[Date],1,0)))),TRUE,FALSE),FALSE)</f>
        <v>0</v>
      </c>
      <c r="HN4" s="13" t="b">
        <f>IFERROR(IF(AND(VLOOKUP(HN6,$NW$21:$NX$35,2,0)="Yes",NOT(ISNUMBER(VLOOKUP(DATE($A$2,$A$3+$A$1-1,HN5),HolidayList[Date],1,0)))),TRUE,FALSE),FALSE)</f>
        <v>0</v>
      </c>
      <c r="HO4" s="13" t="b">
        <f>IFERROR(IF(AND(VLOOKUP(HO6,$NW$21:$NX$35,2,0)="Yes",NOT(ISNUMBER(VLOOKUP(DATE($A$2,$A$3+$A$1-1,HO5),HolidayList[Date],1,0)))),TRUE,FALSE),FALSE)</f>
        <v>0</v>
      </c>
      <c r="HP4" s="13" t="b">
        <f>IFERROR(IF(AND(VLOOKUP(HP6,$NW$21:$NX$35,2,0)="Yes",NOT(ISNUMBER(VLOOKUP(DATE($A$2,$A$3+$A$1-1,HP5),HolidayList[Date],1,0)))),TRUE,FALSE),FALSE)</f>
        <v>0</v>
      </c>
      <c r="HQ4" s="13" t="b">
        <f>IFERROR(IF(AND(VLOOKUP(HQ6,$NW$21:$NX$35,2,0)="Yes",NOT(ISNUMBER(VLOOKUP(DATE($A$2,$A$3+$A$1-1,HQ5),HolidayList[Date],1,0)))),TRUE,FALSE),FALSE)</f>
        <v>0</v>
      </c>
      <c r="HR4" s="13" t="b">
        <f>IFERROR(IF(AND(VLOOKUP(HR6,$NW$21:$NX$35,2,0)="Yes",NOT(ISNUMBER(VLOOKUP(DATE($A$2,$A$3+$A$1-1,HR5),HolidayList[Date],1,0)))),TRUE,FALSE),FALSE)</f>
        <v>0</v>
      </c>
      <c r="HS4" s="13" t="b">
        <f>IFERROR(IF(AND(VLOOKUP(HS6,$NW$21:$NX$35,2,0)="Yes",NOT(ISNUMBER(VLOOKUP(DATE($A$2,$A$3+$A$1-1,HS5),HolidayList[Date],1,0)))),TRUE,FALSE),FALSE)</f>
        <v>0</v>
      </c>
      <c r="HT4" s="13" t="b">
        <f>IFERROR(IF(AND(VLOOKUP(HT6,$NW$21:$NX$35,2,0)="Yes",NOT(ISNUMBER(VLOOKUP(DATE($A$2,$A$3+$A$1-1,HT5),HolidayList[Date],1,0)))),TRUE,FALSE),FALSE)</f>
        <v>0</v>
      </c>
      <c r="HU4" s="13" t="b">
        <f>IFERROR(IF(AND(VLOOKUP(HU6,$NW$21:$NX$35,2,0)="Yes",NOT(ISNUMBER(VLOOKUP(DATE($A$2,$A$3+$A$1-1,HU5),HolidayList[Date],1,0)))),TRUE,FALSE),FALSE)</f>
        <v>0</v>
      </c>
      <c r="HV4" s="13" t="b">
        <f>IFERROR(IF(AND(VLOOKUP(HV6,$NW$21:$NX$35,2,0)="Yes",NOT(ISNUMBER(VLOOKUP(DATE($A$2,$A$3+$A$1-1,HV5),HolidayList[Date],1,0)))),TRUE,FALSE),FALSE)</f>
        <v>0</v>
      </c>
      <c r="HW4" s="13" t="b">
        <f>IFERROR(IF(AND(VLOOKUP(HW6,$NW$21:$NX$35,2,0)="Yes",NOT(ISNUMBER(VLOOKUP(DATE($A$2,$A$3+$A$1-1,HW5),HolidayList[Date],1,0)))),TRUE,FALSE),FALSE)</f>
        <v>0</v>
      </c>
      <c r="HX4" s="13" t="b">
        <f>IFERROR(IF(AND(VLOOKUP(HX6,$NW$21:$NX$35,2,0)="Yes",NOT(ISNUMBER(VLOOKUP(DATE($A$2,$A$3+$A$1-1,HX5),HolidayList[Date],1,0)))),TRUE,FALSE),FALSE)</f>
        <v>0</v>
      </c>
      <c r="HY4" s="13" t="b">
        <f>IFERROR(IF(AND(VLOOKUP(HY6,$NW$21:$NX$35,2,0)="Yes",NOT(ISNUMBER(VLOOKUP(DATE($A$2,$A$3+$A$1-1,HY5),HolidayList[Date],1,0)))),TRUE,FALSE),FALSE)</f>
        <v>0</v>
      </c>
      <c r="HZ4" s="13" t="b">
        <f>IFERROR(IF(AND(VLOOKUP(HZ6,$NW$21:$NX$35,2,0)="Yes",NOT(ISNUMBER(VLOOKUP(DATE($A$2,$A$3+$A$1-1,HZ5),HolidayList[Date],1,0)))),TRUE,FALSE),FALSE)</f>
        <v>0</v>
      </c>
      <c r="IA4" s="13" t="b">
        <f>IFERROR(IF(AND(VLOOKUP(IA6,$NW$21:$NX$35,2,0)="Yes",NOT(ISNUMBER(VLOOKUP(DATE($A$2,$A$3+$A$1-1,IA5),HolidayList[Date],1,0)))),TRUE,FALSE),FALSE)</f>
        <v>0</v>
      </c>
      <c r="IB4" s="13" t="b">
        <f>IFERROR(IF(AND(VLOOKUP(IB6,$NW$21:$NX$35,2,0)="Yes",NOT(ISNUMBER(VLOOKUP(DATE($A$2,$A$3+$A$1-1,IB5),HolidayList[Date],1,0)))),TRUE,FALSE),FALSE)</f>
        <v>0</v>
      </c>
      <c r="IC4" s="13" t="b">
        <f>IFERROR(IF(AND(VLOOKUP(IC6,$NW$21:$NX$35,2,0)="Yes",NOT(ISNUMBER(VLOOKUP(DATE($A$2,$A$3+$A$1-1,IC5),HolidayList[Date],1,0)))),TRUE,FALSE),FALSE)</f>
        <v>0</v>
      </c>
      <c r="ID4" s="13" t="b">
        <f>IFERROR(IF(AND(VLOOKUP(ID6,$NW$21:$NX$35,2,0)="Yes",NOT(ISNUMBER(VLOOKUP(DATE($A$2,$A$3+$A$1-1,ID5),HolidayList[Date],1,0)))),TRUE,FALSE),FALSE)</f>
        <v>0</v>
      </c>
      <c r="IE4" s="13" t="b">
        <f>IFERROR(IF(AND(VLOOKUP(IE6,$NW$21:$NX$35,2,0)="Yes",NOT(ISNUMBER(VLOOKUP(DATE($A$2,$A$3+$A$1-1,IE5),HolidayList[Date],1,0)))),TRUE,FALSE),FALSE)</f>
        <v>0</v>
      </c>
      <c r="IF4" s="13" t="b">
        <f>IFERROR(IF(AND(VLOOKUP(IF6,$NW$21:$NX$35,2,0)="Yes",NOT(ISNUMBER(VLOOKUP(DATE($A$2,$A$3+$A$1-1,IF5),HolidayList[Date],1,0)))),TRUE,FALSE),FALSE)</f>
        <v>0</v>
      </c>
      <c r="IG4" s="13" t="b">
        <f>IFERROR(IF(AND(VLOOKUP(IG6,$NW$21:$NX$35,2,0)="Yes",NOT(ISNUMBER(VLOOKUP(DATE($A$2,$A$3+$A$1-1,IG5),HolidayList[Date],1,0)))),TRUE,FALSE),FALSE)</f>
        <v>0</v>
      </c>
      <c r="IH4" s="13" t="b">
        <f>IFERROR(IF(AND(VLOOKUP(IH6,$NW$21:$NX$35,2,0)="Yes",NOT(ISNUMBER(VLOOKUP(DATE($A$2,$A$3+$A$1-1,IH5),HolidayList[Date],1,0)))),TRUE,FALSE),FALSE)</f>
        <v>0</v>
      </c>
      <c r="II4" s="13" t="b">
        <f>IFERROR(IF(AND(VLOOKUP(II6,$NW$21:$NX$35,2,0)="Yes",NOT(ISNUMBER(VLOOKUP(DATE($A$2,$A$3+$A$1-1,II5),HolidayList[Date],1,0)))),TRUE,FALSE),FALSE)</f>
        <v>0</v>
      </c>
      <c r="IJ4" s="13" t="b">
        <f>IFERROR(IF(AND(VLOOKUP(IJ6,$NW$21:$NX$35,2,0)="Yes",NOT(ISNUMBER(VLOOKUP(DATE($A$2,$A$3+$A$1-1,IJ5),HolidayList[Date],1,0)))),TRUE,FALSE),FALSE)</f>
        <v>0</v>
      </c>
      <c r="IK4" s="13" t="b">
        <f>IFERROR(IF(AND(VLOOKUP(IK6,$NW$21:$NX$35,2,0)="Yes",NOT(ISNUMBER(VLOOKUP(DATE($A$2,$A$3+$A$1-1,IK5),HolidayList[Date],1,0)))),TRUE,FALSE),FALSE)</f>
        <v>0</v>
      </c>
      <c r="IL4" s="13" t="b">
        <f>IFERROR(IF(AND(VLOOKUP(IL6,$NW$21:$NX$35,2,0)="Yes",NOT(ISNUMBER(VLOOKUP(DATE($A$2,$A$3+$A$1-1,IL5),HolidayList[Date],1,0)))),TRUE,FALSE),FALSE)</f>
        <v>0</v>
      </c>
      <c r="IM4" s="13" t="b">
        <f>IFERROR(IF(AND(VLOOKUP(IM6,$NW$21:$NX$35,2,0)="Yes",NOT(ISNUMBER(VLOOKUP(DATE($A$2,$A$3+$A$1-1,IM5),HolidayList[Date],1,0)))),TRUE,FALSE),FALSE)</f>
        <v>0</v>
      </c>
      <c r="IN4" s="13" t="b">
        <f>IFERROR(IF(AND(VLOOKUP(IN6,$NW$21:$NX$35,2,0)="Yes",NOT(ISNUMBER(VLOOKUP(DATE($A$2,$A$3+$A$1-1,IN5),HolidayList[Date],1,0)))),TRUE,FALSE),FALSE)</f>
        <v>0</v>
      </c>
      <c r="IO4" s="13" t="b">
        <f>IFERROR(IF(AND(VLOOKUP(IO6,$NW$21:$NX$35,2,0)="Yes",NOT(ISNUMBER(VLOOKUP(DATE($A$2,$A$3+$A$1-1,IO5),HolidayList[Date],1,0)))),TRUE,FALSE),FALSE)</f>
        <v>0</v>
      </c>
      <c r="IP4" s="13" t="b">
        <f>IFERROR(IF(AND(VLOOKUP(IP6,$NW$21:$NX$35,2,0)="Yes",NOT(ISNUMBER(VLOOKUP(DATE($A$2,$A$3+$A$1-1,IP5),HolidayList[Date],1,0)))),TRUE,FALSE),FALSE)</f>
        <v>0</v>
      </c>
      <c r="IQ4" s="13" t="b">
        <f>IFERROR(IF(AND(VLOOKUP(IQ6,$NW$21:$NX$35,2,0)="Yes",NOT(ISNUMBER(VLOOKUP(DATE($A$2,$A$3+$A$1-1,IQ5),HolidayList[Date],1,0)))),TRUE,FALSE),FALSE)</f>
        <v>0</v>
      </c>
      <c r="IR4" s="13" t="b">
        <f>IFERROR(IF(AND(VLOOKUP(IR6,$NW$21:$NX$35,2,0)="Yes",NOT(ISNUMBER(VLOOKUP(DATE($A$2,$A$3+$A$1-1,IR5),HolidayList[Date],1,0)))),TRUE,FALSE),FALSE)</f>
        <v>0</v>
      </c>
      <c r="IS4" s="13" t="b">
        <f>IFERROR(IF(AND(VLOOKUP(IS6,$NW$21:$NX$35,2,0)="Yes",NOT(ISNUMBER(VLOOKUP(DATE($A$2,$A$3+$A$1-1,IS5),HolidayList[Date],1,0)))),TRUE,FALSE),FALSE)</f>
        <v>0</v>
      </c>
      <c r="IT4" s="13" t="b">
        <f>IFERROR(IF(AND(VLOOKUP(IT6,$NW$21:$NX$35,2,0)="Yes",NOT(ISNUMBER(VLOOKUP(DATE($A$2,$A$3+$A$1-1,IT5),HolidayList[Date],1,0)))),TRUE,FALSE),FALSE)</f>
        <v>0</v>
      </c>
      <c r="IU4" s="13" t="b">
        <f>IFERROR(IF(AND(VLOOKUP(IU6,$NW$21:$NX$35,2,0)="Yes",NOT(ISNUMBER(VLOOKUP(DATE($A$2,$A$3+$A$1-1,IU5),HolidayList[Date],1,0)))),TRUE,FALSE),FALSE)</f>
        <v>0</v>
      </c>
      <c r="IV4" s="13" t="b">
        <f>IFERROR(IF(AND(VLOOKUP(IV6,$NW$21:$NX$35,2,0)="Yes",NOT(ISNUMBER(VLOOKUP(DATE($A$2,$A$3+$A$1-1,IV5),HolidayList[Date],1,0)))),TRUE,FALSE),FALSE)</f>
        <v>0</v>
      </c>
      <c r="IW4" s="13" t="b">
        <f>IFERROR(IF(AND(VLOOKUP(IW6,$NW$21:$NX$35,2,0)="Yes",NOT(ISNUMBER(VLOOKUP(DATE($A$2,$A$3+$A$1-1,IW5),HolidayList[Date],1,0)))),TRUE,FALSE),FALSE)</f>
        <v>0</v>
      </c>
      <c r="IX4" s="13" t="b">
        <f>IFERROR(IF(AND(VLOOKUP(IX6,$NW$21:$NX$35,2,0)="Yes",NOT(ISNUMBER(VLOOKUP(DATE($A$2,$A$3+$A$1-1,IX5),HolidayList[Date],1,0)))),TRUE,FALSE),FALSE)</f>
        <v>0</v>
      </c>
      <c r="IY4" s="13" t="b">
        <f>IFERROR(IF(AND(VLOOKUP(IY6,$NW$21:$NX$35,2,0)="Yes",NOT(ISNUMBER(VLOOKUP(DATE($A$2,$A$3+$A$1-1,IY5),HolidayList[Date],1,0)))),TRUE,FALSE),FALSE)</f>
        <v>0</v>
      </c>
      <c r="IZ4" s="13" t="b">
        <f>IFERROR(IF(AND(VLOOKUP(IZ6,$NW$21:$NX$35,2,0)="Yes",NOT(ISNUMBER(VLOOKUP(DATE($A$2,$A$3+$A$1-1,IZ5),HolidayList[Date],1,0)))),TRUE,FALSE),FALSE)</f>
        <v>0</v>
      </c>
      <c r="JA4" s="13" t="b">
        <f>IFERROR(IF(AND(VLOOKUP(JA6,$NW$21:$NX$35,2,0)="Yes",NOT(ISNUMBER(VLOOKUP(DATE($A$2,$A$3+$A$1-1,JA5),HolidayList[Date],1,0)))),TRUE,FALSE),FALSE)</f>
        <v>0</v>
      </c>
      <c r="JB4" s="13" t="b">
        <f>IFERROR(IF(AND(VLOOKUP(JB6,$NW$21:$NX$35,2,0)="Yes",NOT(ISNUMBER(VLOOKUP(DATE($A$2,$A$3+$A$1-1,JB5),HolidayList[Date],1,0)))),TRUE,FALSE),FALSE)</f>
        <v>0</v>
      </c>
      <c r="JC4" s="13" t="b">
        <f>IFERROR(IF(AND(VLOOKUP(JC6,$NW$21:$NX$35,2,0)="Yes",NOT(ISNUMBER(VLOOKUP(DATE($A$2,$A$3+$A$1-1,JC5),HolidayList[Date],1,0)))),TRUE,FALSE),FALSE)</f>
        <v>0</v>
      </c>
      <c r="JD4" s="13" t="b">
        <f>IFERROR(IF(AND(VLOOKUP(JD6,$NW$21:$NX$35,2,0)="Yes",NOT(ISNUMBER(VLOOKUP(DATE($A$2,$A$3+$A$1-1,JD5),HolidayList[Date],1,0)))),TRUE,FALSE),FALSE)</f>
        <v>0</v>
      </c>
      <c r="JE4" s="13" t="b">
        <f>IFERROR(IF(AND(VLOOKUP(JE6,$NW$21:$NX$35,2,0)="Yes",NOT(ISNUMBER(VLOOKUP(DATE($A$2,$A$3+$A$1-1,JE5),HolidayList[Date],1,0)))),TRUE,FALSE),FALSE)</f>
        <v>0</v>
      </c>
      <c r="JF4" s="13" t="b">
        <f>IFERROR(IF(AND(VLOOKUP(JF6,$NW$21:$NX$35,2,0)="Yes",NOT(ISNUMBER(VLOOKUP(DATE($A$2,$A$3+$A$1-1,JF5),HolidayList[Date],1,0)))),TRUE,FALSE),FALSE)</f>
        <v>0</v>
      </c>
      <c r="JG4" s="13" t="b">
        <f>IFERROR(IF(AND(VLOOKUP(JG6,$NW$21:$NX$35,2,0)="Yes",NOT(ISNUMBER(VLOOKUP(DATE($A$2,$A$3+$A$1-1,JG5),HolidayList[Date],1,0)))),TRUE,FALSE),FALSE)</f>
        <v>0</v>
      </c>
      <c r="JH4" s="13" t="b">
        <f>IFERROR(IF(AND(VLOOKUP(JH6,$NW$21:$NX$35,2,0)="Yes",NOT(ISNUMBER(VLOOKUP(DATE($A$2,$A$3+$A$1-1,JH5),HolidayList[Date],1,0)))),TRUE,FALSE),FALSE)</f>
        <v>0</v>
      </c>
      <c r="JI4" s="13" t="b">
        <f>IFERROR(IF(AND(VLOOKUP(JI6,$NW$21:$NX$35,2,0)="Yes",NOT(ISNUMBER(VLOOKUP(DATE($A$2,$A$3+$A$1-1,JI5),HolidayList[Date],1,0)))),TRUE,FALSE),FALSE)</f>
        <v>0</v>
      </c>
      <c r="JJ4" s="13" t="b">
        <f>IFERROR(IF(AND(VLOOKUP(JJ6,$NW$21:$NX$35,2,0)="Yes",NOT(ISNUMBER(VLOOKUP(DATE($A$2,$A$3+$A$1-1,JJ5),HolidayList[Date],1,0)))),TRUE,FALSE),FALSE)</f>
        <v>0</v>
      </c>
      <c r="JK4" s="13" t="b">
        <f>IFERROR(IF(AND(VLOOKUP(JK6,$NW$21:$NX$35,2,0)="Yes",NOT(ISNUMBER(VLOOKUP(DATE($A$2,$A$3+$A$1-1,JK5),HolidayList[Date],1,0)))),TRUE,FALSE),FALSE)</f>
        <v>0</v>
      </c>
      <c r="JL4" s="13" t="b">
        <f>IFERROR(IF(AND(VLOOKUP(JL6,$NW$21:$NX$35,2,0)="Yes",NOT(ISNUMBER(VLOOKUP(DATE($A$2,$A$3+$A$1-1,JL5),HolidayList[Date],1,0)))),TRUE,FALSE),FALSE)</f>
        <v>0</v>
      </c>
      <c r="JM4" s="13" t="b">
        <f>IFERROR(IF(AND(VLOOKUP(JM6,$NW$21:$NX$35,2,0)="Yes",NOT(ISNUMBER(VLOOKUP(DATE($A$2,$A$3+$A$1-1,JM5),HolidayList[Date],1,0)))),TRUE,FALSE),FALSE)</f>
        <v>0</v>
      </c>
      <c r="JN4" s="13" t="b">
        <f>IFERROR(IF(AND(VLOOKUP(JN6,$NW$21:$NX$35,2,0)="Yes",NOT(ISNUMBER(VLOOKUP(DATE($A$2,$A$3+$A$1-1,JN5),HolidayList[Date],1,0)))),TRUE,FALSE),FALSE)</f>
        <v>0</v>
      </c>
      <c r="JO4" s="13" t="b">
        <f>IFERROR(IF(AND(VLOOKUP(JO6,$NW$21:$NX$35,2,0)="Yes",NOT(ISNUMBER(VLOOKUP(DATE($A$2,$A$3+$A$1-1,JO5),HolidayList[Date],1,0)))),TRUE,FALSE),FALSE)</f>
        <v>0</v>
      </c>
      <c r="JP4" s="13" t="b">
        <f>IFERROR(IF(AND(VLOOKUP(JP6,$NW$21:$NX$35,2,0)="Yes",NOT(ISNUMBER(VLOOKUP(DATE($A$2,$A$3+$A$1-1,JP5),HolidayList[Date],1,0)))),TRUE,FALSE),FALSE)</f>
        <v>0</v>
      </c>
      <c r="JQ4" s="13" t="b">
        <f>IFERROR(IF(AND(VLOOKUP(JQ6,$NW$21:$NX$35,2,0)="Yes",NOT(ISNUMBER(VLOOKUP(DATE($A$2,$A$3+$A$1-1,JQ5),HolidayList[Date],1,0)))),TRUE,FALSE),FALSE)</f>
        <v>0</v>
      </c>
      <c r="JR4" s="13" t="b">
        <f>IFERROR(IF(AND(VLOOKUP(JR6,$NW$21:$NX$35,2,0)="Yes",NOT(ISNUMBER(VLOOKUP(DATE($A$2,$A$3+$A$1-1,JR5),HolidayList[Date],1,0)))),TRUE,FALSE),FALSE)</f>
        <v>0</v>
      </c>
      <c r="JS4" s="13" t="b">
        <f>IFERROR(IF(AND(VLOOKUP(JS6,$NW$21:$NX$35,2,0)="Yes",NOT(ISNUMBER(VLOOKUP(DATE($A$2,$A$3+$A$1-1,JS5),HolidayList[Date],1,0)))),TRUE,FALSE),FALSE)</f>
        <v>0</v>
      </c>
      <c r="JT4" s="13" t="b">
        <f>IFERROR(IF(AND(VLOOKUP(JT6,$NW$21:$NX$35,2,0)="Yes",NOT(ISNUMBER(VLOOKUP(DATE($A$2,$A$3+$A$1-1,JT5),HolidayList[Date],1,0)))),TRUE,FALSE),FALSE)</f>
        <v>0</v>
      </c>
      <c r="JU4" s="13" t="b">
        <f>IFERROR(IF(AND(VLOOKUP(JU6,$NW$21:$NX$35,2,0)="Yes",NOT(ISNUMBER(VLOOKUP(DATE($A$2,$A$3+$A$1-1,JU5),HolidayList[Date],1,0)))),TRUE,FALSE),FALSE)</f>
        <v>0</v>
      </c>
      <c r="JV4" s="13" t="b">
        <f>IFERROR(IF(AND(VLOOKUP(JV6,$NW$21:$NX$35,2,0)="Yes",NOT(ISNUMBER(VLOOKUP(DATE($A$2,$A$3+$A$1-1,JV5),HolidayList[Date],1,0)))),TRUE,FALSE),FALSE)</f>
        <v>0</v>
      </c>
      <c r="JW4" s="13" t="b">
        <f>IFERROR(IF(AND(VLOOKUP(JW6,$NW$21:$NX$35,2,0)="Yes",NOT(ISNUMBER(VLOOKUP(DATE($A$2,$A$3+$A$1-1,JW5),HolidayList[Date],1,0)))),TRUE,FALSE),FALSE)</f>
        <v>0</v>
      </c>
      <c r="JX4" s="13" t="b">
        <f>IFERROR(IF(AND(VLOOKUP(JX6,$NW$21:$NX$35,2,0)="Yes",NOT(ISNUMBER(VLOOKUP(DATE($A$2,$A$3+$A$1-1,JX5),HolidayList[Date],1,0)))),TRUE,FALSE),FALSE)</f>
        <v>0</v>
      </c>
      <c r="JY4" s="13" t="b">
        <f>IFERROR(IF(AND(VLOOKUP(JY6,$NW$21:$NX$35,2,0)="Yes",NOT(ISNUMBER(VLOOKUP(DATE($A$2,$A$3+$A$1-1,JY5),HolidayList[Date],1,0)))),TRUE,FALSE),FALSE)</f>
        <v>0</v>
      </c>
      <c r="JZ4" s="13" t="b">
        <f>IFERROR(IF(AND(VLOOKUP(JZ6,$NW$21:$NX$35,2,0)="Yes",NOT(ISNUMBER(VLOOKUP(DATE($A$2,$A$3+$A$1-1,JZ5),HolidayList[Date],1,0)))),TRUE,FALSE),FALSE)</f>
        <v>0</v>
      </c>
      <c r="KA4" s="13" t="b">
        <f>IFERROR(IF(AND(VLOOKUP(KA6,$NW$21:$NX$35,2,0)="Yes",NOT(ISNUMBER(VLOOKUP(DATE($A$2,$A$3+$A$1-1,KA5),HolidayList[Date],1,0)))),TRUE,FALSE),FALSE)</f>
        <v>0</v>
      </c>
      <c r="KB4" s="13" t="b">
        <f>IFERROR(IF(AND(VLOOKUP(KB6,$NW$21:$NX$35,2,0)="Yes",NOT(ISNUMBER(VLOOKUP(DATE($A$2,$A$3+$A$1-1,KB5),HolidayList[Date],1,0)))),TRUE,FALSE),FALSE)</f>
        <v>0</v>
      </c>
      <c r="KC4" s="13" t="b">
        <f>IFERROR(IF(AND(VLOOKUP(KC6,$NW$21:$NX$35,2,0)="Yes",NOT(ISNUMBER(VLOOKUP(DATE($A$2,$A$3+$A$1-1,KC5),HolidayList[Date],1,0)))),TRUE,FALSE),FALSE)</f>
        <v>0</v>
      </c>
      <c r="KD4" s="13" t="b">
        <f>IFERROR(IF(AND(VLOOKUP(KD6,$NW$21:$NX$35,2,0)="Yes",NOT(ISNUMBER(VLOOKUP(DATE($A$2,$A$3+$A$1-1,KD5),HolidayList[Date],1,0)))),TRUE,FALSE),FALSE)</f>
        <v>0</v>
      </c>
      <c r="KE4" s="13" t="b">
        <f>IFERROR(IF(AND(VLOOKUP(KE6,$NW$21:$NX$35,2,0)="Yes",NOT(ISNUMBER(VLOOKUP(DATE($A$2,$A$3+$A$1-1,KE5),HolidayList[Date],1,0)))),TRUE,FALSE),FALSE)</f>
        <v>0</v>
      </c>
      <c r="KF4" s="13" t="b">
        <f>IFERROR(IF(AND(VLOOKUP(KF6,$NW$21:$NX$35,2,0)="Yes",NOT(ISNUMBER(VLOOKUP(DATE($A$2,$A$3+$A$1-1,KF5),HolidayList[Date],1,0)))),TRUE,FALSE),FALSE)</f>
        <v>0</v>
      </c>
      <c r="KG4" s="13" t="b">
        <f>IFERROR(IF(AND(VLOOKUP(KG6,$NW$21:$NX$35,2,0)="Yes",NOT(ISNUMBER(VLOOKUP(DATE($A$2,$A$3+$A$1-1,KG5),HolidayList[Date],1,0)))),TRUE,FALSE),FALSE)</f>
        <v>0</v>
      </c>
      <c r="KH4" s="13" t="b">
        <f>IFERROR(IF(AND(VLOOKUP(KH6,$NW$21:$NX$35,2,0)="Yes",NOT(ISNUMBER(VLOOKUP(DATE($A$2,$A$3+$A$1-1,KH5),HolidayList[Date],1,0)))),TRUE,FALSE),FALSE)</f>
        <v>0</v>
      </c>
      <c r="KI4" s="13" t="b">
        <f>IFERROR(IF(AND(VLOOKUP(KI6,$NW$21:$NX$35,2,0)="Yes",NOT(ISNUMBER(VLOOKUP(DATE($A$2,$A$3+$A$1-1,KI5),HolidayList[Date],1,0)))),TRUE,FALSE),FALSE)</f>
        <v>0</v>
      </c>
      <c r="KJ4" s="13" t="b">
        <f>IFERROR(IF(AND(VLOOKUP(KJ6,$NW$21:$NX$35,2,0)="Yes",NOT(ISNUMBER(VLOOKUP(DATE($A$2,$A$3+$A$1-1,KJ5),HolidayList[Date],1,0)))),TRUE,FALSE),FALSE)</f>
        <v>0</v>
      </c>
      <c r="KK4" s="13" t="b">
        <f>IFERROR(IF(AND(VLOOKUP(KK6,$NW$21:$NX$35,2,0)="Yes",NOT(ISNUMBER(VLOOKUP(DATE($A$2,$A$3+$A$1-1,KK5),HolidayList[Date],1,0)))),TRUE,FALSE),FALSE)</f>
        <v>0</v>
      </c>
      <c r="KL4" s="13" t="b">
        <f>IFERROR(IF(AND(VLOOKUP(KL6,$NW$21:$NX$35,2,0)="Yes",NOT(ISNUMBER(VLOOKUP(DATE($A$2,$A$3+$A$1-1,KL5),HolidayList[Date],1,0)))),TRUE,FALSE),FALSE)</f>
        <v>0</v>
      </c>
      <c r="KM4" s="13" t="b">
        <f>IFERROR(IF(AND(VLOOKUP(KM6,$NW$21:$NX$35,2,0)="Yes",NOT(ISNUMBER(VLOOKUP(DATE($A$2,$A$3+$A$1-1,KM5),HolidayList[Date],1,0)))),TRUE,FALSE),FALSE)</f>
        <v>0</v>
      </c>
      <c r="KN4" s="13" t="b">
        <f>IFERROR(IF(AND(VLOOKUP(KN6,$NW$21:$NX$35,2,0)="Yes",NOT(ISNUMBER(VLOOKUP(DATE($A$2,$A$3+$A$1-1,KN5),HolidayList[Date],1,0)))),TRUE,FALSE),FALSE)</f>
        <v>0</v>
      </c>
      <c r="KO4" s="13" t="b">
        <f>IFERROR(IF(AND(VLOOKUP(KO6,$NW$21:$NX$35,2,0)="Yes",NOT(ISNUMBER(VLOOKUP(DATE($A$2,$A$3+$A$1-1,KO5),HolidayList[Date],1,0)))),TRUE,FALSE),FALSE)</f>
        <v>0</v>
      </c>
      <c r="KP4" s="13" t="b">
        <f>IFERROR(IF(AND(VLOOKUP(KP6,$NW$21:$NX$35,2,0)="Yes",NOT(ISNUMBER(VLOOKUP(DATE($A$2,$A$3+$A$1-1,KP5),HolidayList[Date],1,0)))),TRUE,FALSE),FALSE)</f>
        <v>0</v>
      </c>
      <c r="KQ4" s="13" t="b">
        <f>IFERROR(IF(AND(VLOOKUP(KQ6,$NW$21:$NX$35,2,0)="Yes",NOT(ISNUMBER(VLOOKUP(DATE($A$2,$A$3+$A$1-1,KQ5),HolidayList[Date],1,0)))),TRUE,FALSE),FALSE)</f>
        <v>0</v>
      </c>
      <c r="KR4" s="13" t="b">
        <f>IFERROR(IF(AND(VLOOKUP(KR6,$NW$21:$NX$35,2,0)="Yes",NOT(ISNUMBER(VLOOKUP(DATE($A$2,$A$3+$A$1-1,KR5),HolidayList[Date],1,0)))),TRUE,FALSE),FALSE)</f>
        <v>0</v>
      </c>
      <c r="KS4" s="13" t="b">
        <f>IFERROR(IF(AND(VLOOKUP(KS6,$NW$21:$NX$35,2,0)="Yes",NOT(ISNUMBER(VLOOKUP(DATE($A$2,$A$3+$A$1-1,KS5),HolidayList[Date],1,0)))),TRUE,FALSE),FALSE)</f>
        <v>0</v>
      </c>
      <c r="KT4" s="13" t="b">
        <f>IFERROR(IF(AND(VLOOKUP(KT6,$NW$21:$NX$35,2,0)="Yes",NOT(ISNUMBER(VLOOKUP(DATE($A$2,$A$3+$A$1-1,KT5),HolidayList[Date],1,0)))),TRUE,FALSE),FALSE)</f>
        <v>0</v>
      </c>
      <c r="KU4" s="13" t="b">
        <f>IFERROR(IF(AND(VLOOKUP(KU6,$NW$21:$NX$35,2,0)="Yes",NOT(ISNUMBER(VLOOKUP(DATE($A$2,$A$3+$A$1-1,KU5),HolidayList[Date],1,0)))),TRUE,FALSE),FALSE)</f>
        <v>0</v>
      </c>
      <c r="KV4" s="13" t="b">
        <f>IFERROR(IF(AND(VLOOKUP(KV6,$NW$21:$NX$35,2,0)="Yes",NOT(ISNUMBER(VLOOKUP(DATE($A$2,$A$3+$A$1-1,KV5),HolidayList[Date],1,0)))),TRUE,FALSE),FALSE)</f>
        <v>0</v>
      </c>
      <c r="KW4" s="13" t="b">
        <f>IFERROR(IF(AND(VLOOKUP(KW6,$NW$21:$NX$35,2,0)="Yes",NOT(ISNUMBER(VLOOKUP(DATE($A$2,$A$3+$A$1-1,KW5),HolidayList[Date],1,0)))),TRUE,FALSE),FALSE)</f>
        <v>0</v>
      </c>
      <c r="KX4" s="13" t="b">
        <f>IFERROR(IF(AND(VLOOKUP(KX6,$NW$21:$NX$35,2,0)="Yes",NOT(ISNUMBER(VLOOKUP(DATE($A$2,$A$3+$A$1-1,KX5),HolidayList[Date],1,0)))),TRUE,FALSE),FALSE)</f>
        <v>0</v>
      </c>
      <c r="KY4" s="13" t="b">
        <f>IFERROR(IF(AND(VLOOKUP(KY6,$NW$21:$NX$35,2,0)="Yes",NOT(ISNUMBER(VLOOKUP(DATE($A$2,$A$3+$A$1-1,KY5),HolidayList[Date],1,0)))),TRUE,FALSE),FALSE)</f>
        <v>0</v>
      </c>
      <c r="KZ4" s="13" t="b">
        <f>IFERROR(IF(AND(VLOOKUP(KZ6,$NW$21:$NX$35,2,0)="Yes",NOT(ISNUMBER(VLOOKUP(DATE($A$2,$A$3+$A$1-1,KZ5),HolidayList[Date],1,0)))),TRUE,FALSE),FALSE)</f>
        <v>0</v>
      </c>
      <c r="LA4" s="13" t="b">
        <f>IFERROR(IF(AND(VLOOKUP(LA6,$NW$21:$NX$35,2,0)="Yes",NOT(ISNUMBER(VLOOKUP(DATE($A$2,$A$3+$A$1-1,LA5),HolidayList[Date],1,0)))),TRUE,FALSE),FALSE)</f>
        <v>0</v>
      </c>
      <c r="LB4" s="13" t="b">
        <f>IFERROR(IF(AND(VLOOKUP(LB6,$NW$21:$NX$35,2,0)="Yes",NOT(ISNUMBER(VLOOKUP(DATE($A$2,$A$3+$A$1-1,LB5),HolidayList[Date],1,0)))),TRUE,FALSE),FALSE)</f>
        <v>0</v>
      </c>
      <c r="LC4" s="13" t="b">
        <f>IFERROR(IF(AND(VLOOKUP(LC6,$NW$21:$NX$35,2,0)="Yes",NOT(ISNUMBER(VLOOKUP(DATE($A$2,$A$3+$A$1-1,LC5),HolidayList[Date],1,0)))),TRUE,FALSE),FALSE)</f>
        <v>0</v>
      </c>
      <c r="LD4" s="13" t="b">
        <f>IFERROR(IF(AND(VLOOKUP(LD6,$NW$21:$NX$35,2,0)="Yes",NOT(ISNUMBER(VLOOKUP(DATE($A$2,$A$3+$A$1-1,LD5),HolidayList[Date],1,0)))),TRUE,FALSE),FALSE)</f>
        <v>0</v>
      </c>
      <c r="LE4" s="13" t="b">
        <f>IFERROR(IF(AND(VLOOKUP(LE6,$NW$21:$NX$35,2,0)="Yes",NOT(ISNUMBER(VLOOKUP(DATE($A$2,$A$3+$A$1-1,LE5),HolidayList[Date],1,0)))),TRUE,FALSE),FALSE)</f>
        <v>0</v>
      </c>
      <c r="LF4" s="13" t="b">
        <f>IFERROR(IF(AND(VLOOKUP(LF6,$NW$21:$NX$35,2,0)="Yes",NOT(ISNUMBER(VLOOKUP(DATE($A$2,$A$3+$A$1-1,LF5),HolidayList[Date],1,0)))),TRUE,FALSE),FALSE)</f>
        <v>0</v>
      </c>
      <c r="LG4" s="13" t="b">
        <f>IFERROR(IF(AND(VLOOKUP(LG6,$NW$21:$NX$35,2,0)="Yes",NOT(ISNUMBER(VLOOKUP(DATE($A$2,$A$3+$A$1-1,LG5),HolidayList[Date],1,0)))),TRUE,FALSE),FALSE)</f>
        <v>0</v>
      </c>
      <c r="LH4" s="13" t="b">
        <f>IFERROR(IF(AND(VLOOKUP(LH6,$NW$21:$NX$35,2,0)="Yes",NOT(ISNUMBER(VLOOKUP(DATE($A$2,$A$3+$A$1-1,LH5),HolidayList[Date],1,0)))),TRUE,FALSE),FALSE)</f>
        <v>0</v>
      </c>
      <c r="LI4" s="13" t="b">
        <f>IFERROR(IF(AND(VLOOKUP(LI6,$NW$21:$NX$35,2,0)="Yes",NOT(ISNUMBER(VLOOKUP(DATE($A$2,$A$3+$A$1-1,LI5),HolidayList[Date],1,0)))),TRUE,FALSE),FALSE)</f>
        <v>0</v>
      </c>
      <c r="LJ4" s="13" t="b">
        <f>IFERROR(IF(AND(VLOOKUP(LJ6,$NW$21:$NX$35,2,0)="Yes",NOT(ISNUMBER(VLOOKUP(DATE($A$2,$A$3+$A$1-1,LJ5),HolidayList[Date],1,0)))),TRUE,FALSE),FALSE)</f>
        <v>0</v>
      </c>
      <c r="LK4" s="13" t="b">
        <f>IFERROR(IF(AND(VLOOKUP(LK6,$NW$21:$NX$35,2,0)="Yes",NOT(ISNUMBER(VLOOKUP(DATE($A$2,$A$3+$A$1-1,LK5),HolidayList[Date],1,0)))),TRUE,FALSE),FALSE)</f>
        <v>0</v>
      </c>
      <c r="LL4" s="13" t="b">
        <f>IFERROR(IF(AND(VLOOKUP(LL6,$NW$21:$NX$35,2,0)="Yes",NOT(ISNUMBER(VLOOKUP(DATE($A$2,$A$3+$A$1-1,LL5),HolidayList[Date],1,0)))),TRUE,FALSE),FALSE)</f>
        <v>0</v>
      </c>
      <c r="LM4" s="13" t="b">
        <f>IFERROR(IF(AND(VLOOKUP(LM6,$NW$21:$NX$35,2,0)="Yes",NOT(ISNUMBER(VLOOKUP(DATE($A$2,$A$3+$A$1-1,LM5),HolidayList[Date],1,0)))),TRUE,FALSE),FALSE)</f>
        <v>0</v>
      </c>
      <c r="LN4" s="13" t="b">
        <f>IFERROR(IF(AND(VLOOKUP(LN6,$NW$21:$NX$35,2,0)="Yes",NOT(ISNUMBER(VLOOKUP(DATE($A$2,$A$3+$A$1-1,LN5),HolidayList[Date],1,0)))),TRUE,FALSE),FALSE)</f>
        <v>0</v>
      </c>
      <c r="LO4" s="13" t="b">
        <f>IFERROR(IF(AND(VLOOKUP(LO6,$NW$21:$NX$35,2,0)="Yes",NOT(ISNUMBER(VLOOKUP(DATE($A$2,$A$3+$A$1-1,LO5),HolidayList[Date],1,0)))),TRUE,FALSE),FALSE)</f>
        <v>0</v>
      </c>
      <c r="LP4" s="13" t="b">
        <f>IFERROR(IF(AND(VLOOKUP(LP6,$NW$21:$NX$35,2,0)="Yes",NOT(ISNUMBER(VLOOKUP(DATE($A$2,$A$3+$A$1-1,LP5),HolidayList[Date],1,0)))),TRUE,FALSE),FALSE)</f>
        <v>0</v>
      </c>
      <c r="LQ4" s="13" t="b">
        <f>IFERROR(IF(AND(VLOOKUP(LQ6,$NW$21:$NX$35,2,0)="Yes",NOT(ISNUMBER(VLOOKUP(DATE($A$2,$A$3+$A$1-1,LQ5),HolidayList[Date],1,0)))),TRUE,FALSE),FALSE)</f>
        <v>0</v>
      </c>
      <c r="LR4" s="13" t="b">
        <f>IFERROR(IF(AND(VLOOKUP(LR6,$NW$21:$NX$35,2,0)="Yes",NOT(ISNUMBER(VLOOKUP(DATE($A$2,$A$3+$A$1-1,LR5),HolidayList[Date],1,0)))),TRUE,FALSE),FALSE)</f>
        <v>0</v>
      </c>
      <c r="LS4" s="13" t="b">
        <f>IFERROR(IF(AND(VLOOKUP(LS6,$NW$21:$NX$35,2,0)="Yes",NOT(ISNUMBER(VLOOKUP(DATE($A$2,$A$3+$A$1-1,LS5),HolidayList[Date],1,0)))),TRUE,FALSE),FALSE)</f>
        <v>0</v>
      </c>
      <c r="LT4" s="13" t="b">
        <f>IFERROR(IF(AND(VLOOKUP(LT6,$NW$21:$NX$35,2,0)="Yes",NOT(ISNUMBER(VLOOKUP(DATE($A$2,$A$3+$A$1-1,LT5),HolidayList[Date],1,0)))),TRUE,FALSE),FALSE)</f>
        <v>0</v>
      </c>
      <c r="LU4" s="13" t="b">
        <f>IFERROR(IF(AND(VLOOKUP(LU6,$NW$21:$NX$35,2,0)="Yes",NOT(ISNUMBER(VLOOKUP(DATE($A$2,$A$3+$A$1-1,LU5),HolidayList[Date],1,0)))),TRUE,FALSE),FALSE)</f>
        <v>0</v>
      </c>
      <c r="LV4" s="13" t="b">
        <f>IFERROR(IF(AND(VLOOKUP(LV6,$NW$21:$NX$35,2,0)="Yes",NOT(ISNUMBER(VLOOKUP(DATE($A$2,$A$3+$A$1-1,LV5),HolidayList[Date],1,0)))),TRUE,FALSE),FALSE)</f>
        <v>0</v>
      </c>
      <c r="LW4" s="13" t="b">
        <f>IFERROR(IF(AND(VLOOKUP(LW6,$NW$21:$NX$35,2,0)="Yes",NOT(ISNUMBER(VLOOKUP(DATE($A$2,$A$3+$A$1-1,LW5),HolidayList[Date],1,0)))),TRUE,FALSE),FALSE)</f>
        <v>0</v>
      </c>
      <c r="LX4" s="13" t="b">
        <f>IFERROR(IF(AND(VLOOKUP(LX6,$NW$21:$NX$35,2,0)="Yes",NOT(ISNUMBER(VLOOKUP(DATE($A$2,$A$3+$A$1-1,LX5),HolidayList[Date],1,0)))),TRUE,FALSE),FALSE)</f>
        <v>0</v>
      </c>
      <c r="LY4" s="13" t="b">
        <f>IFERROR(IF(AND(VLOOKUP(LY6,$NW$21:$NX$35,2,0)="Yes",NOT(ISNUMBER(VLOOKUP(DATE($A$2,$A$3+$A$1-1,LY5),HolidayList[Date],1,0)))),TRUE,FALSE),FALSE)</f>
        <v>0</v>
      </c>
      <c r="LZ4" s="13" t="b">
        <f>IFERROR(IF(AND(VLOOKUP(LZ6,$NW$21:$NX$35,2,0)="Yes",NOT(ISNUMBER(VLOOKUP(DATE($A$2,$A$3+$A$1-1,LZ5),HolidayList[Date],1,0)))),TRUE,FALSE),FALSE)</f>
        <v>0</v>
      </c>
      <c r="MA4" s="13" t="b">
        <f>IFERROR(IF(AND(VLOOKUP(MA6,$NW$21:$NX$35,2,0)="Yes",NOT(ISNUMBER(VLOOKUP(DATE($A$2,$A$3+$A$1-1,MA5),HolidayList[Date],1,0)))),TRUE,FALSE),FALSE)</f>
        <v>0</v>
      </c>
      <c r="MB4" s="13" t="b">
        <f>IFERROR(IF(AND(VLOOKUP(MB6,$NW$21:$NX$35,2,0)="Yes",NOT(ISNUMBER(VLOOKUP(DATE($A$2,$A$3+$A$1-1,MB5),HolidayList[Date],1,0)))),TRUE,FALSE),FALSE)</f>
        <v>0</v>
      </c>
      <c r="MC4" s="13" t="b">
        <f>IFERROR(IF(AND(VLOOKUP(MC6,$NW$21:$NX$35,2,0)="Yes",NOT(ISNUMBER(VLOOKUP(DATE($A$2,$A$3+$A$1-1,MC5),HolidayList[Date],1,0)))),TRUE,FALSE),FALSE)</f>
        <v>0</v>
      </c>
      <c r="MD4" s="13" t="b">
        <f>IFERROR(IF(AND(VLOOKUP(MD6,$NW$21:$NX$35,2,0)="Yes",NOT(ISNUMBER(VLOOKUP(DATE($A$2,$A$3+$A$1-1,MD5),HolidayList[Date],1,0)))),TRUE,FALSE),FALSE)</f>
        <v>0</v>
      </c>
      <c r="ME4" s="13" t="b">
        <f>IFERROR(IF(AND(VLOOKUP(ME6,$NW$21:$NX$35,2,0)="Yes",NOT(ISNUMBER(VLOOKUP(DATE($A$2,$A$3+$A$1-1,ME5),HolidayList[Date],1,0)))),TRUE,FALSE),FALSE)</f>
        <v>1</v>
      </c>
      <c r="MF4" s="13" t="b">
        <f>IFERROR(IF(AND(VLOOKUP(MF6,$NW$21:$NX$35,2,0)="Yes",NOT(ISNUMBER(VLOOKUP(DATE($A$2,$A$3+$A$1-1,MF5),HolidayList[Date],1,0)))),TRUE,FALSE),FALSE)</f>
        <v>1</v>
      </c>
      <c r="MG4" s="13" t="b">
        <f>IFERROR(IF(AND(VLOOKUP(MG6,$NW$21:$NX$35,2,0)="Yes",NOT(ISNUMBER(VLOOKUP(DATE($A$2,$A$3+$A$1-1,MG5),HolidayList[Date],1,0)))),TRUE,FALSE),FALSE)</f>
        <v>1</v>
      </c>
      <c r="MH4" s="13" t="b">
        <f>IFERROR(IF(AND(VLOOKUP(MH6,$NW$21:$NX$35,2,0)="Yes",NOT(ISNUMBER(VLOOKUP(DATE($A$2,$A$3+$A$1-1,MH5),HolidayList[Date],1,0)))),TRUE,FALSE),FALSE)</f>
        <v>1</v>
      </c>
      <c r="MI4" s="13" t="b">
        <f>IFERROR(IF(AND(VLOOKUP(MI6,$NW$21:$NX$35,2,0)="Yes",NOT(ISNUMBER(VLOOKUP(DATE($A$2,$A$3+$A$1-1,MI5),HolidayList[Date],1,0)))),TRUE,FALSE),FALSE)</f>
        <v>1</v>
      </c>
      <c r="MJ4" s="13" t="b">
        <f>IFERROR(IF(AND(VLOOKUP(MJ6,$NW$21:$NX$35,2,0)="Yes",NOT(ISNUMBER(VLOOKUP(DATE($A$2,$A$3+$A$1-1,MJ5),HolidayList[Date],1,0)))),TRUE,FALSE),FALSE)</f>
        <v>0</v>
      </c>
      <c r="MK4" s="13" t="b">
        <f>IFERROR(IF(AND(VLOOKUP(MK6,$NW$21:$NX$35,2,0)="Yes",NOT(ISNUMBER(VLOOKUP(DATE($A$2,$A$3+$A$1-1,MK5),HolidayList[Date],1,0)))),TRUE,FALSE),FALSE)</f>
        <v>0</v>
      </c>
      <c r="ML4" s="13" t="b">
        <f>IFERROR(IF(AND(VLOOKUP(ML6,$NW$21:$NX$35,2,0)="Yes",NOT(ISNUMBER(VLOOKUP(DATE($A$2,$A$3+$A$1-1,ML5),HolidayList[Date],1,0)))),TRUE,FALSE),FALSE)</f>
        <v>1</v>
      </c>
      <c r="MM4" s="13" t="b">
        <f>IFERROR(IF(AND(VLOOKUP(MM6,$NW$21:$NX$35,2,0)="Yes",NOT(ISNUMBER(VLOOKUP(DATE($A$2,$A$3+$A$1-1,MM5),HolidayList[Date],1,0)))),TRUE,FALSE),FALSE)</f>
        <v>1</v>
      </c>
      <c r="MN4" s="13" t="b">
        <f>IFERROR(IF(AND(VLOOKUP(MN6,$NW$21:$NX$35,2,0)="Yes",NOT(ISNUMBER(VLOOKUP(DATE($A$2,$A$3+$A$1-1,MN5),HolidayList[Date],1,0)))),TRUE,FALSE),FALSE)</f>
        <v>1</v>
      </c>
      <c r="MO4" s="13" t="b">
        <f>IFERROR(IF(AND(VLOOKUP(MO6,$NW$21:$NX$35,2,0)="Yes",NOT(ISNUMBER(VLOOKUP(DATE($A$2,$A$3+$A$1-1,MO5),HolidayList[Date],1,0)))),TRUE,FALSE),FALSE)</f>
        <v>1</v>
      </c>
      <c r="MP4" s="13" t="b">
        <f>IFERROR(IF(AND(VLOOKUP(MP6,$NW$21:$NX$35,2,0)="Yes",NOT(ISNUMBER(VLOOKUP(DATE($A$2,$A$3+$A$1-1,MP5),HolidayList[Date],1,0)))),TRUE,FALSE),FALSE)</f>
        <v>1</v>
      </c>
      <c r="MQ4" s="13" t="b">
        <f>IFERROR(IF(AND(VLOOKUP(MQ6,$NW$21:$NX$35,2,0)="Yes",NOT(ISNUMBER(VLOOKUP(DATE($A$2,$A$3+$A$1-1,MQ5),HolidayList[Date],1,0)))),TRUE,FALSE),FALSE)</f>
        <v>0</v>
      </c>
      <c r="MR4" s="13" t="b">
        <f>IFERROR(IF(AND(VLOOKUP(MR6,$NW$21:$NX$35,2,0)="Yes",NOT(ISNUMBER(VLOOKUP(DATE($A$2,$A$3+$A$1-1,MR5),HolidayList[Date],1,0)))),TRUE,FALSE),FALSE)</f>
        <v>0</v>
      </c>
      <c r="MS4" s="13" t="b">
        <f>IFERROR(IF(AND(VLOOKUP(MS6,$NW$21:$NX$35,2,0)="Yes",NOT(ISNUMBER(VLOOKUP(DATE($A$2,$A$3+$A$1-1,MS5),HolidayList[Date],1,0)))),TRUE,FALSE),FALSE)</f>
        <v>1</v>
      </c>
      <c r="MT4" s="13" t="b">
        <f>IFERROR(IF(AND(VLOOKUP(MT6,$NW$21:$NX$35,2,0)="Yes",NOT(ISNUMBER(VLOOKUP(DATE($A$2,$A$3+$A$1-1,MT5),HolidayList[Date],1,0)))),TRUE,FALSE),FALSE)</f>
        <v>1</v>
      </c>
      <c r="MU4" s="13" t="b">
        <f>IFERROR(IF(AND(VLOOKUP(MU6,$NW$21:$NX$35,2,0)="Yes",NOT(ISNUMBER(VLOOKUP(DATE($A$2,$A$3+$A$1-1,MU5),HolidayList[Date],1,0)))),TRUE,FALSE),FALSE)</f>
        <v>1</v>
      </c>
      <c r="MV4" s="13" t="b">
        <f>IFERROR(IF(AND(VLOOKUP(MV6,$NW$21:$NX$35,2,0)="Yes",NOT(ISNUMBER(VLOOKUP(DATE($A$2,$A$3+$A$1-1,MV5),HolidayList[Date],1,0)))),TRUE,FALSE),FALSE)</f>
        <v>1</v>
      </c>
      <c r="MW4" s="13" t="b">
        <f>IFERROR(IF(AND(VLOOKUP(MW6,$NW$21:$NX$35,2,0)="Yes",NOT(ISNUMBER(VLOOKUP(DATE($A$2,$A$3+$A$1-1,MW5),HolidayList[Date],1,0)))),TRUE,FALSE),FALSE)</f>
        <v>1</v>
      </c>
      <c r="MX4" s="13" t="b">
        <f>IFERROR(IF(AND(VLOOKUP(MX6,$NW$21:$NX$35,2,0)="Yes",NOT(ISNUMBER(VLOOKUP(DATE($A$2,$A$3+$A$1-1,MX5),HolidayList[Date],1,0)))),TRUE,FALSE),FALSE)</f>
        <v>0</v>
      </c>
      <c r="MY4" s="13" t="b">
        <f>IFERROR(IF(AND(VLOOKUP(MY6,$NW$21:$NX$35,2,0)="Yes",NOT(ISNUMBER(VLOOKUP(DATE($A$2,$A$3+$A$1-1,MY5),HolidayList[Date],1,0)))),TRUE,FALSE),FALSE)</f>
        <v>0</v>
      </c>
      <c r="MZ4" s="13" t="b">
        <f>IFERROR(IF(AND(VLOOKUP(MZ6,$NW$21:$NX$35,2,0)="Yes",NOT(ISNUMBER(VLOOKUP(DATE($A$2,$A$3+$A$1-1,MZ5),HolidayList[Date],1,0)))),TRUE,FALSE),FALSE)</f>
        <v>1</v>
      </c>
      <c r="NA4" s="13" t="b">
        <f>IFERROR(IF(AND(VLOOKUP(NA6,$NW$21:$NX$35,2,0)="Yes",NOT(ISNUMBER(VLOOKUP(DATE($A$2,$A$3+$A$1-1,NA5),HolidayList[Date],1,0)))),TRUE,FALSE),FALSE)</f>
        <v>1</v>
      </c>
      <c r="NB4" s="13" t="b">
        <f>IFERROR(IF(AND(VLOOKUP(NB6,$NW$21:$NX$35,2,0)="Yes",NOT(ISNUMBER(VLOOKUP(DATE($A$2,$A$3+$A$1-1,NB5),HolidayList[Date],1,0)))),TRUE,FALSE),FALSE)</f>
        <v>1</v>
      </c>
      <c r="NC4" s="13" t="b">
        <f>IFERROR(IF(AND(VLOOKUP(NC6,$NW$21:$NX$35,2,0)="Yes",NOT(ISNUMBER(VLOOKUP(DATE($A$2,$A$3+$A$1-1,NC5),HolidayList[Date],1,0)))),TRUE,FALSE),FALSE)</f>
        <v>1</v>
      </c>
      <c r="ND4" s="13" t="b">
        <f>IFERROR(IF(AND(VLOOKUP(ND6,$NW$21:$NX$35,2,0)="Yes",NOT(ISNUMBER(VLOOKUP(DATE($A$2,$A$3+$A$1-1,ND5),HolidayList[Date],1,0)))),TRUE,FALSE),FALSE)</f>
        <v>1</v>
      </c>
      <c r="NE4" s="13" t="b">
        <f>IFERROR(IF(AND(VLOOKUP(NE6,$NW$21:$NX$35,2,0)="Yes",NOT(ISNUMBER(VLOOKUP(DATE($A$2,$A$3+$A$1-1,NE5),HolidayList[Date],1,0)))),TRUE,FALSE),FALSE)</f>
        <v>0</v>
      </c>
      <c r="NF4" s="13" t="b">
        <f>IFERROR(IF(AND(VLOOKUP(NF6,$NW$21:$NX$35,2,0)="Yes",NOT(ISNUMBER(VLOOKUP(DATE($A$2,$A$3+$A$1-1,NF5),HolidayList[Date],1,0)))),TRUE,FALSE),FALSE)</f>
        <v>0</v>
      </c>
      <c r="NG4" s="13" t="b">
        <f>IFERROR(IF(AND(VLOOKUP(NG6,$NW$21:$NX$35,2,0)="Yes",NOT(ISNUMBER(VLOOKUP(DATE($A$2,$A$3+$A$1-1,NG5),HolidayList[Date],1,0)))),TRUE,FALSE),FALSE)</f>
        <v>1</v>
      </c>
      <c r="NH4" s="13" t="b">
        <f>IFERROR(IF(AND(VLOOKUP(NH6,$NW$21:$NX$35,2,0)="Yes",NOT(ISNUMBER(VLOOKUP(DATE($A$2,$A$3+$A$1-1,NH5),HolidayList[Date],1,0)))),TRUE,FALSE),FALSE)</f>
        <v>1</v>
      </c>
      <c r="NI4" s="13" t="b">
        <f>IFERROR(IF(AND(VLOOKUP(NI6,$NW$21:$NX$35,2,0)="Yes",NOT(ISNUMBER(VLOOKUP(DATE($A$2,$A$3+$A$1-1,NI5),HolidayList[Date],1,0)))),TRUE,FALSE),FALSE)</f>
        <v>1</v>
      </c>
      <c r="NJ4" s="13" t="b">
        <f>IFERROR(IF(AND(VLOOKUP(NJ6,$NW$21:$NX$35,2,0)="Yes",NOT(ISNUMBER(VLOOKUP(DATE($A$2,$A$3+$A$1-1,NJ5),HolidayList[Date],1,0)))),TRUE,FALSE),FALSE)</f>
        <v>0</v>
      </c>
      <c r="NL4" s="27" t="s">
        <v>34</v>
      </c>
      <c r="NM4" s="27"/>
      <c r="NN4" s="27"/>
      <c r="NO4" s="27"/>
      <c r="NP4" s="27"/>
      <c r="NQ4" s="28"/>
      <c r="NR4" s="28"/>
      <c r="NS4" s="28"/>
      <c r="NT4" s="28"/>
      <c r="NU4" s="29"/>
    </row>
    <row r="5" spans="1:761" x14ac:dyDescent="0.25">
      <c r="A5" s="1"/>
      <c r="B5" s="6" t="str">
        <f>IF(AND((COLUMN()-1)&gt;31*($A$3-1),MONTH(DATE($A$2+INT(($A$3+$A$1)/12),IF((INT((COLUMN()-1)/31.001)+$A$1)&gt;12,(INT((COLUMN()-1)/31.001)+$A$1-12),INT((COLUMN()-1)/31.001)+$A$1),ROUNDUP(MOD(COLUMN()-1,31.001),0)))=ROUNDUP(MOD($A$1+$A$3-1,12.01),0)),ROUNDUP(MOD(COLUMN()-1,31.001),0),"")</f>
        <v/>
      </c>
      <c r="C5" s="6" t="str">
        <f t="shared" ref="C5:BN5" si="0">IF(AND((COLUMN()-1)&gt;31*($A$3-1),MONTH(DATE($A$2+INT(($A$3+$A$1)/12),IF((INT((COLUMN()-1)/31.001)+$A$1)&gt;12,(INT((COLUMN()-1)/31.001)+$A$1-12),INT((COLUMN()-1)/31.001)+$A$1),ROUNDUP(MOD(COLUMN()-1,31.001),0)))=ROUNDUP(MOD($A$1+$A$3-1,12.01),0)),ROUNDUP(MOD(COLUMN()-1,31.001),0),"")</f>
        <v/>
      </c>
      <c r="D5" s="6" t="str">
        <f t="shared" si="0"/>
        <v/>
      </c>
      <c r="E5" s="6" t="str">
        <f t="shared" si="0"/>
        <v/>
      </c>
      <c r="F5" s="6" t="str">
        <f t="shared" si="0"/>
        <v/>
      </c>
      <c r="G5" s="6" t="str">
        <f t="shared" si="0"/>
        <v/>
      </c>
      <c r="H5" s="6" t="str">
        <f t="shared" si="0"/>
        <v/>
      </c>
      <c r="I5" s="6" t="str">
        <f t="shared" si="0"/>
        <v/>
      </c>
      <c r="J5" s="6" t="str">
        <f t="shared" si="0"/>
        <v/>
      </c>
      <c r="K5" s="6" t="str">
        <f t="shared" si="0"/>
        <v/>
      </c>
      <c r="L5" s="6" t="str">
        <f t="shared" si="0"/>
        <v/>
      </c>
      <c r="M5" s="6" t="str">
        <f t="shared" si="0"/>
        <v/>
      </c>
      <c r="N5" s="6" t="str">
        <f t="shared" si="0"/>
        <v/>
      </c>
      <c r="O5" s="6" t="str">
        <f t="shared" si="0"/>
        <v/>
      </c>
      <c r="P5" s="6" t="str">
        <f t="shared" si="0"/>
        <v/>
      </c>
      <c r="Q5" s="6" t="str">
        <f t="shared" si="0"/>
        <v/>
      </c>
      <c r="R5" s="6" t="str">
        <f t="shared" si="0"/>
        <v/>
      </c>
      <c r="S5" s="6" t="str">
        <f t="shared" si="0"/>
        <v/>
      </c>
      <c r="T5" s="6" t="str">
        <f t="shared" si="0"/>
        <v/>
      </c>
      <c r="U5" s="6" t="str">
        <f t="shared" si="0"/>
        <v/>
      </c>
      <c r="V5" s="6" t="str">
        <f t="shared" si="0"/>
        <v/>
      </c>
      <c r="W5" s="6" t="str">
        <f t="shared" si="0"/>
        <v/>
      </c>
      <c r="X5" s="6" t="str">
        <f t="shared" si="0"/>
        <v/>
      </c>
      <c r="Y5" s="6" t="str">
        <f t="shared" si="0"/>
        <v/>
      </c>
      <c r="Z5" s="6" t="str">
        <f t="shared" si="0"/>
        <v/>
      </c>
      <c r="AA5" s="6" t="str">
        <f t="shared" si="0"/>
        <v/>
      </c>
      <c r="AB5" s="6" t="str">
        <f t="shared" si="0"/>
        <v/>
      </c>
      <c r="AC5" s="6" t="str">
        <f t="shared" si="0"/>
        <v/>
      </c>
      <c r="AD5" s="6" t="str">
        <f t="shared" si="0"/>
        <v/>
      </c>
      <c r="AE5" s="6" t="str">
        <f t="shared" si="0"/>
        <v/>
      </c>
      <c r="AF5" s="6" t="str">
        <f t="shared" si="0"/>
        <v/>
      </c>
      <c r="AG5" s="6" t="str">
        <f t="shared" si="0"/>
        <v/>
      </c>
      <c r="AH5" s="6" t="str">
        <f t="shared" si="0"/>
        <v/>
      </c>
      <c r="AI5" s="6" t="str">
        <f t="shared" si="0"/>
        <v/>
      </c>
      <c r="AJ5" s="6" t="str">
        <f t="shared" si="0"/>
        <v/>
      </c>
      <c r="AK5" s="6" t="str">
        <f t="shared" si="0"/>
        <v/>
      </c>
      <c r="AL5" s="6" t="str">
        <f t="shared" si="0"/>
        <v/>
      </c>
      <c r="AM5" s="6" t="str">
        <f t="shared" si="0"/>
        <v/>
      </c>
      <c r="AN5" s="6" t="str">
        <f t="shared" si="0"/>
        <v/>
      </c>
      <c r="AO5" s="6" t="str">
        <f t="shared" si="0"/>
        <v/>
      </c>
      <c r="AP5" s="6" t="str">
        <f t="shared" si="0"/>
        <v/>
      </c>
      <c r="AQ5" s="6" t="str">
        <f t="shared" si="0"/>
        <v/>
      </c>
      <c r="AR5" s="6" t="str">
        <f t="shared" si="0"/>
        <v/>
      </c>
      <c r="AS5" s="6" t="str">
        <f t="shared" si="0"/>
        <v/>
      </c>
      <c r="AT5" s="6" t="str">
        <f t="shared" si="0"/>
        <v/>
      </c>
      <c r="AU5" s="6" t="str">
        <f t="shared" si="0"/>
        <v/>
      </c>
      <c r="AV5" s="6" t="str">
        <f t="shared" si="0"/>
        <v/>
      </c>
      <c r="AW5" s="6" t="str">
        <f t="shared" si="0"/>
        <v/>
      </c>
      <c r="AX5" s="6" t="str">
        <f t="shared" si="0"/>
        <v/>
      </c>
      <c r="AY5" s="6" t="str">
        <f t="shared" si="0"/>
        <v/>
      </c>
      <c r="AZ5" s="6" t="str">
        <f t="shared" si="0"/>
        <v/>
      </c>
      <c r="BA5" s="6" t="str">
        <f t="shared" si="0"/>
        <v/>
      </c>
      <c r="BB5" s="6" t="str">
        <f t="shared" si="0"/>
        <v/>
      </c>
      <c r="BC5" s="6" t="str">
        <f t="shared" si="0"/>
        <v/>
      </c>
      <c r="BD5" s="6" t="str">
        <f t="shared" si="0"/>
        <v/>
      </c>
      <c r="BE5" s="6" t="str">
        <f t="shared" si="0"/>
        <v/>
      </c>
      <c r="BF5" s="6" t="str">
        <f t="shared" si="0"/>
        <v/>
      </c>
      <c r="BG5" s="6" t="str">
        <f t="shared" si="0"/>
        <v/>
      </c>
      <c r="BH5" s="6" t="str">
        <f t="shared" si="0"/>
        <v/>
      </c>
      <c r="BI5" s="6" t="str">
        <f t="shared" si="0"/>
        <v/>
      </c>
      <c r="BJ5" s="6" t="str">
        <f t="shared" si="0"/>
        <v/>
      </c>
      <c r="BK5" s="6" t="str">
        <f t="shared" si="0"/>
        <v/>
      </c>
      <c r="BL5" s="6" t="str">
        <f t="shared" si="0"/>
        <v/>
      </c>
      <c r="BM5" s="6" t="str">
        <f t="shared" si="0"/>
        <v/>
      </c>
      <c r="BN5" s="6" t="str">
        <f t="shared" si="0"/>
        <v/>
      </c>
      <c r="BO5" s="6" t="str">
        <f t="shared" ref="BO5:EA5" si="1">IF(AND((COLUMN()-1)&gt;31*($A$3-1),MONTH(DATE($A$2+INT(($A$3+$A$1)/12),IF((INT((COLUMN()-1)/31.001)+$A$1)&gt;12,(INT((COLUMN()-1)/31.001)+$A$1-12),INT((COLUMN()-1)/31.001)+$A$1),ROUNDUP(MOD(COLUMN()-1,31.001),0)))=ROUNDUP(MOD($A$1+$A$3-1,12.01),0)),ROUNDUP(MOD(COLUMN()-1,31.001),0),"")</f>
        <v/>
      </c>
      <c r="BP5" s="6" t="str">
        <f t="shared" si="1"/>
        <v/>
      </c>
      <c r="BQ5" s="6" t="str">
        <f t="shared" si="1"/>
        <v/>
      </c>
      <c r="BR5" s="6" t="str">
        <f t="shared" si="1"/>
        <v/>
      </c>
      <c r="BS5" s="6" t="str">
        <f t="shared" si="1"/>
        <v/>
      </c>
      <c r="BT5" s="6" t="str">
        <f t="shared" si="1"/>
        <v/>
      </c>
      <c r="BU5" s="6" t="str">
        <f t="shared" si="1"/>
        <v/>
      </c>
      <c r="BV5" s="6" t="str">
        <f t="shared" si="1"/>
        <v/>
      </c>
      <c r="BW5" s="6" t="str">
        <f t="shared" si="1"/>
        <v/>
      </c>
      <c r="BX5" s="6" t="str">
        <f t="shared" si="1"/>
        <v/>
      </c>
      <c r="BY5" s="6" t="str">
        <f t="shared" si="1"/>
        <v/>
      </c>
      <c r="BZ5" s="6" t="str">
        <f t="shared" si="1"/>
        <v/>
      </c>
      <c r="CA5" s="6" t="str">
        <f t="shared" si="1"/>
        <v/>
      </c>
      <c r="CB5" s="6" t="str">
        <f t="shared" si="1"/>
        <v/>
      </c>
      <c r="CC5" s="6" t="str">
        <f t="shared" si="1"/>
        <v/>
      </c>
      <c r="CD5" s="6" t="str">
        <f t="shared" si="1"/>
        <v/>
      </c>
      <c r="CE5" s="6" t="str">
        <f t="shared" si="1"/>
        <v/>
      </c>
      <c r="CF5" s="6" t="str">
        <f t="shared" si="1"/>
        <v/>
      </c>
      <c r="CG5" s="6" t="str">
        <f t="shared" si="1"/>
        <v/>
      </c>
      <c r="CH5" s="6" t="str">
        <f t="shared" si="1"/>
        <v/>
      </c>
      <c r="CI5" s="6" t="str">
        <f t="shared" si="1"/>
        <v/>
      </c>
      <c r="CJ5" s="6" t="str">
        <f t="shared" si="1"/>
        <v/>
      </c>
      <c r="CK5" s="6" t="str">
        <f t="shared" si="1"/>
        <v/>
      </c>
      <c r="CL5" s="6" t="str">
        <f t="shared" si="1"/>
        <v/>
      </c>
      <c r="CM5" s="6" t="str">
        <f t="shared" si="1"/>
        <v/>
      </c>
      <c r="CN5" s="6" t="str">
        <f t="shared" si="1"/>
        <v/>
      </c>
      <c r="CO5" s="6" t="str">
        <f t="shared" si="1"/>
        <v/>
      </c>
      <c r="CP5" s="6" t="str">
        <f t="shared" si="1"/>
        <v/>
      </c>
      <c r="CQ5" s="6"/>
      <c r="CR5" s="6" t="str">
        <f t="shared" si="1"/>
        <v/>
      </c>
      <c r="CS5" s="6" t="str">
        <f t="shared" si="1"/>
        <v/>
      </c>
      <c r="CT5" s="6" t="str">
        <f t="shared" si="1"/>
        <v/>
      </c>
      <c r="CU5" s="6" t="str">
        <f t="shared" si="1"/>
        <v/>
      </c>
      <c r="CV5" s="6" t="str">
        <f t="shared" si="1"/>
        <v/>
      </c>
      <c r="CW5" s="6" t="str">
        <f t="shared" si="1"/>
        <v/>
      </c>
      <c r="CX5" s="6" t="str">
        <f t="shared" si="1"/>
        <v/>
      </c>
      <c r="CY5" s="6" t="str">
        <f t="shared" si="1"/>
        <v/>
      </c>
      <c r="CZ5" s="6" t="str">
        <f t="shared" si="1"/>
        <v/>
      </c>
      <c r="DA5" s="6" t="str">
        <f t="shared" si="1"/>
        <v/>
      </c>
      <c r="DB5" s="6" t="str">
        <f t="shared" si="1"/>
        <v/>
      </c>
      <c r="DC5" s="6" t="str">
        <f t="shared" si="1"/>
        <v/>
      </c>
      <c r="DD5" s="6" t="str">
        <f t="shared" si="1"/>
        <v/>
      </c>
      <c r="DE5" s="6" t="str">
        <f t="shared" si="1"/>
        <v/>
      </c>
      <c r="DF5" s="6" t="str">
        <f t="shared" si="1"/>
        <v/>
      </c>
      <c r="DG5" s="6" t="str">
        <f t="shared" si="1"/>
        <v/>
      </c>
      <c r="DH5" s="6" t="str">
        <f t="shared" si="1"/>
        <v/>
      </c>
      <c r="DI5" s="6" t="str">
        <f t="shared" si="1"/>
        <v/>
      </c>
      <c r="DJ5" s="6" t="str">
        <f t="shared" si="1"/>
        <v/>
      </c>
      <c r="DK5" s="6" t="str">
        <f t="shared" si="1"/>
        <v/>
      </c>
      <c r="DL5" s="6" t="str">
        <f t="shared" si="1"/>
        <v/>
      </c>
      <c r="DM5" s="6" t="str">
        <f t="shared" si="1"/>
        <v/>
      </c>
      <c r="DN5" s="6" t="str">
        <f t="shared" si="1"/>
        <v/>
      </c>
      <c r="DO5" s="6" t="str">
        <f t="shared" si="1"/>
        <v/>
      </c>
      <c r="DP5" s="6" t="str">
        <f t="shared" si="1"/>
        <v/>
      </c>
      <c r="DQ5" s="6" t="str">
        <f t="shared" si="1"/>
        <v/>
      </c>
      <c r="DR5" s="6" t="str">
        <f t="shared" si="1"/>
        <v/>
      </c>
      <c r="DS5" s="6" t="str">
        <f t="shared" si="1"/>
        <v/>
      </c>
      <c r="DT5" s="6" t="str">
        <f t="shared" si="1"/>
        <v/>
      </c>
      <c r="DU5" s="6" t="str">
        <f t="shared" si="1"/>
        <v/>
      </c>
      <c r="DV5" s="6" t="str">
        <f t="shared" si="1"/>
        <v/>
      </c>
      <c r="DW5" s="6" t="str">
        <f t="shared" si="1"/>
        <v/>
      </c>
      <c r="DX5" s="6" t="str">
        <f t="shared" si="1"/>
        <v/>
      </c>
      <c r="DY5" s="6" t="str">
        <f t="shared" si="1"/>
        <v/>
      </c>
      <c r="DZ5" s="6" t="str">
        <f t="shared" si="1"/>
        <v/>
      </c>
      <c r="EA5" s="6" t="str">
        <f t="shared" si="1"/>
        <v/>
      </c>
      <c r="EB5" s="6" t="str">
        <f t="shared" ref="EB5:GM5" si="2">IF(AND((COLUMN()-1)&gt;31*($A$3-1),MONTH(DATE($A$2+INT(($A$3+$A$1)/12),IF((INT((COLUMN()-1)/31.001)+$A$1)&gt;12,(INT((COLUMN()-1)/31.001)+$A$1-12),INT((COLUMN()-1)/31.001)+$A$1),ROUNDUP(MOD(COLUMN()-1,31.001),0)))=ROUNDUP(MOD($A$1+$A$3-1,12.01),0)),ROUNDUP(MOD(COLUMN()-1,31.001),0),"")</f>
        <v/>
      </c>
      <c r="EC5" s="6" t="str">
        <f t="shared" si="2"/>
        <v/>
      </c>
      <c r="ED5" s="6" t="str">
        <f t="shared" si="2"/>
        <v/>
      </c>
      <c r="EE5" s="6" t="str">
        <f t="shared" si="2"/>
        <v/>
      </c>
      <c r="EF5" s="6" t="str">
        <f t="shared" si="2"/>
        <v/>
      </c>
      <c r="EG5" s="6" t="str">
        <f t="shared" si="2"/>
        <v/>
      </c>
      <c r="EH5" s="6" t="str">
        <f t="shared" si="2"/>
        <v/>
      </c>
      <c r="EI5" s="6" t="str">
        <f t="shared" si="2"/>
        <v/>
      </c>
      <c r="EJ5" s="6" t="str">
        <f t="shared" si="2"/>
        <v/>
      </c>
      <c r="EK5" s="6" t="str">
        <f t="shared" si="2"/>
        <v/>
      </c>
      <c r="EL5" s="6" t="str">
        <f t="shared" si="2"/>
        <v/>
      </c>
      <c r="EM5" s="6" t="str">
        <f t="shared" si="2"/>
        <v/>
      </c>
      <c r="EN5" s="6" t="str">
        <f t="shared" si="2"/>
        <v/>
      </c>
      <c r="EO5" s="6" t="str">
        <f t="shared" si="2"/>
        <v/>
      </c>
      <c r="EP5" s="6" t="str">
        <f t="shared" si="2"/>
        <v/>
      </c>
      <c r="EQ5" s="6" t="str">
        <f t="shared" si="2"/>
        <v/>
      </c>
      <c r="ER5" s="6" t="str">
        <f t="shared" si="2"/>
        <v/>
      </c>
      <c r="ES5" s="6" t="str">
        <f t="shared" si="2"/>
        <v/>
      </c>
      <c r="ET5" s="6" t="str">
        <f t="shared" si="2"/>
        <v/>
      </c>
      <c r="EU5" s="6" t="str">
        <f t="shared" si="2"/>
        <v/>
      </c>
      <c r="EV5" s="6" t="str">
        <f t="shared" si="2"/>
        <v/>
      </c>
      <c r="EW5" s="6" t="str">
        <f t="shared" si="2"/>
        <v/>
      </c>
      <c r="EX5" s="6" t="str">
        <f t="shared" si="2"/>
        <v/>
      </c>
      <c r="EY5" s="6" t="str">
        <f t="shared" si="2"/>
        <v/>
      </c>
      <c r="EZ5" s="6" t="str">
        <f t="shared" si="2"/>
        <v/>
      </c>
      <c r="FA5" s="6" t="str">
        <f t="shared" si="2"/>
        <v/>
      </c>
      <c r="FB5" s="6" t="str">
        <f t="shared" si="2"/>
        <v/>
      </c>
      <c r="FC5" s="6" t="str">
        <f t="shared" si="2"/>
        <v/>
      </c>
      <c r="FD5" s="6" t="str">
        <f t="shared" si="2"/>
        <v/>
      </c>
      <c r="FE5" s="6" t="str">
        <f t="shared" si="2"/>
        <v/>
      </c>
      <c r="FF5" s="6" t="str">
        <f t="shared" si="2"/>
        <v/>
      </c>
      <c r="FG5" s="6" t="str">
        <f t="shared" si="2"/>
        <v/>
      </c>
      <c r="FH5" s="6" t="str">
        <f t="shared" si="2"/>
        <v/>
      </c>
      <c r="FI5" s="6" t="str">
        <f t="shared" si="2"/>
        <v/>
      </c>
      <c r="FJ5" s="6" t="str">
        <f t="shared" si="2"/>
        <v/>
      </c>
      <c r="FK5" s="6" t="str">
        <f t="shared" si="2"/>
        <v/>
      </c>
      <c r="FL5" s="6" t="str">
        <f t="shared" si="2"/>
        <v/>
      </c>
      <c r="FM5" s="6" t="str">
        <f t="shared" si="2"/>
        <v/>
      </c>
      <c r="FN5" s="6" t="str">
        <f t="shared" si="2"/>
        <v/>
      </c>
      <c r="FO5" s="6" t="str">
        <f t="shared" si="2"/>
        <v/>
      </c>
      <c r="FP5" s="6" t="str">
        <f t="shared" si="2"/>
        <v/>
      </c>
      <c r="FQ5" s="6" t="str">
        <f t="shared" si="2"/>
        <v/>
      </c>
      <c r="FR5" s="6" t="str">
        <f t="shared" si="2"/>
        <v/>
      </c>
      <c r="FS5" s="6" t="str">
        <f t="shared" si="2"/>
        <v/>
      </c>
      <c r="FT5" s="6" t="str">
        <f t="shared" si="2"/>
        <v/>
      </c>
      <c r="FU5" s="6" t="str">
        <f t="shared" si="2"/>
        <v/>
      </c>
      <c r="FV5" s="6" t="str">
        <f t="shared" si="2"/>
        <v/>
      </c>
      <c r="FW5" s="6" t="str">
        <f t="shared" si="2"/>
        <v/>
      </c>
      <c r="FX5" s="6" t="str">
        <f t="shared" si="2"/>
        <v/>
      </c>
      <c r="FY5" s="6" t="str">
        <f t="shared" si="2"/>
        <v/>
      </c>
      <c r="FZ5" s="6" t="str">
        <f t="shared" si="2"/>
        <v/>
      </c>
      <c r="GA5" s="6" t="str">
        <f t="shared" si="2"/>
        <v/>
      </c>
      <c r="GB5" s="6" t="str">
        <f t="shared" si="2"/>
        <v/>
      </c>
      <c r="GC5" s="6" t="str">
        <f t="shared" si="2"/>
        <v/>
      </c>
      <c r="GD5" s="6" t="str">
        <f t="shared" si="2"/>
        <v/>
      </c>
      <c r="GE5" s="6" t="str">
        <f t="shared" si="2"/>
        <v/>
      </c>
      <c r="GF5" s="6" t="str">
        <f t="shared" si="2"/>
        <v/>
      </c>
      <c r="GG5" s="6" t="str">
        <f t="shared" si="2"/>
        <v/>
      </c>
      <c r="GH5" s="6" t="str">
        <f t="shared" si="2"/>
        <v/>
      </c>
      <c r="GI5" s="6" t="str">
        <f t="shared" si="2"/>
        <v/>
      </c>
      <c r="GJ5" s="6" t="str">
        <f t="shared" si="2"/>
        <v/>
      </c>
      <c r="GK5" s="6" t="str">
        <f t="shared" si="2"/>
        <v/>
      </c>
      <c r="GL5" s="6" t="str">
        <f t="shared" si="2"/>
        <v/>
      </c>
      <c r="GM5" s="6" t="str">
        <f t="shared" si="2"/>
        <v/>
      </c>
      <c r="GN5" s="6" t="str">
        <f t="shared" ref="GN5:IY5" si="3">IF(AND((COLUMN()-1)&gt;31*($A$3-1),MONTH(DATE($A$2+INT(($A$3+$A$1)/12),IF((INT((COLUMN()-1)/31.001)+$A$1)&gt;12,(INT((COLUMN()-1)/31.001)+$A$1-12),INT((COLUMN()-1)/31.001)+$A$1),ROUNDUP(MOD(COLUMN()-1,31.001),0)))=ROUNDUP(MOD($A$1+$A$3-1,12.01),0)),ROUNDUP(MOD(COLUMN()-1,31.001),0),"")</f>
        <v/>
      </c>
      <c r="GO5" s="6" t="str">
        <f t="shared" si="3"/>
        <v/>
      </c>
      <c r="GP5" s="6" t="str">
        <f t="shared" si="3"/>
        <v/>
      </c>
      <c r="GQ5" s="6" t="str">
        <f t="shared" si="3"/>
        <v/>
      </c>
      <c r="GR5" s="6" t="str">
        <f t="shared" si="3"/>
        <v/>
      </c>
      <c r="GS5" s="6" t="str">
        <f t="shared" si="3"/>
        <v/>
      </c>
      <c r="GT5" s="6" t="str">
        <f t="shared" si="3"/>
        <v/>
      </c>
      <c r="GU5" s="6" t="str">
        <f t="shared" si="3"/>
        <v/>
      </c>
      <c r="GV5" s="6" t="str">
        <f t="shared" si="3"/>
        <v/>
      </c>
      <c r="GW5" s="6" t="str">
        <f t="shared" si="3"/>
        <v/>
      </c>
      <c r="GX5" s="6" t="str">
        <f t="shared" si="3"/>
        <v/>
      </c>
      <c r="GY5" s="6" t="str">
        <f t="shared" si="3"/>
        <v/>
      </c>
      <c r="GZ5" s="6" t="str">
        <f t="shared" si="3"/>
        <v/>
      </c>
      <c r="HA5" s="6" t="str">
        <f t="shared" si="3"/>
        <v/>
      </c>
      <c r="HB5" s="6" t="str">
        <f t="shared" si="3"/>
        <v/>
      </c>
      <c r="HC5" s="6" t="str">
        <f t="shared" si="3"/>
        <v/>
      </c>
      <c r="HD5" s="6" t="str">
        <f t="shared" si="3"/>
        <v/>
      </c>
      <c r="HE5" s="6" t="str">
        <f t="shared" si="3"/>
        <v/>
      </c>
      <c r="HF5" s="6" t="str">
        <f t="shared" si="3"/>
        <v/>
      </c>
      <c r="HG5" s="6" t="str">
        <f t="shared" si="3"/>
        <v/>
      </c>
      <c r="HH5" s="6" t="str">
        <f t="shared" si="3"/>
        <v/>
      </c>
      <c r="HI5" s="6" t="str">
        <f t="shared" si="3"/>
        <v/>
      </c>
      <c r="HJ5" s="6" t="str">
        <f t="shared" si="3"/>
        <v/>
      </c>
      <c r="HK5" s="6" t="str">
        <f t="shared" si="3"/>
        <v/>
      </c>
      <c r="HL5" s="6" t="str">
        <f t="shared" si="3"/>
        <v/>
      </c>
      <c r="HM5" s="6" t="str">
        <f t="shared" si="3"/>
        <v/>
      </c>
      <c r="HN5" s="6" t="str">
        <f t="shared" si="3"/>
        <v/>
      </c>
      <c r="HO5" s="6" t="str">
        <f t="shared" si="3"/>
        <v/>
      </c>
      <c r="HP5" s="6" t="str">
        <f t="shared" si="3"/>
        <v/>
      </c>
      <c r="HQ5" s="6" t="str">
        <f t="shared" si="3"/>
        <v/>
      </c>
      <c r="HR5" s="6" t="str">
        <f t="shared" si="3"/>
        <v/>
      </c>
      <c r="HS5" s="6" t="str">
        <f t="shared" si="3"/>
        <v/>
      </c>
      <c r="HT5" s="6" t="str">
        <f t="shared" si="3"/>
        <v/>
      </c>
      <c r="HU5" s="6" t="str">
        <f t="shared" si="3"/>
        <v/>
      </c>
      <c r="HV5" s="6" t="str">
        <f t="shared" si="3"/>
        <v/>
      </c>
      <c r="HW5" s="6" t="str">
        <f t="shared" si="3"/>
        <v/>
      </c>
      <c r="HX5" s="6" t="str">
        <f t="shared" si="3"/>
        <v/>
      </c>
      <c r="HY5" s="6" t="str">
        <f t="shared" si="3"/>
        <v/>
      </c>
      <c r="HZ5" s="6" t="str">
        <f t="shared" si="3"/>
        <v/>
      </c>
      <c r="IA5" s="6" t="str">
        <f t="shared" si="3"/>
        <v/>
      </c>
      <c r="IB5" s="6" t="str">
        <f t="shared" si="3"/>
        <v/>
      </c>
      <c r="IC5" s="6" t="str">
        <f t="shared" si="3"/>
        <v/>
      </c>
      <c r="ID5" s="6" t="str">
        <f t="shared" si="3"/>
        <v/>
      </c>
      <c r="IE5" s="6" t="str">
        <f t="shared" si="3"/>
        <v/>
      </c>
      <c r="IF5" s="6" t="str">
        <f t="shared" si="3"/>
        <v/>
      </c>
      <c r="IG5" s="6" t="str">
        <f t="shared" si="3"/>
        <v/>
      </c>
      <c r="IH5" s="6" t="str">
        <f t="shared" si="3"/>
        <v/>
      </c>
      <c r="II5" s="6" t="str">
        <f t="shared" si="3"/>
        <v/>
      </c>
      <c r="IJ5" s="6" t="str">
        <f t="shared" si="3"/>
        <v/>
      </c>
      <c r="IK5" s="6" t="str">
        <f t="shared" si="3"/>
        <v/>
      </c>
      <c r="IL5" s="6" t="str">
        <f t="shared" si="3"/>
        <v/>
      </c>
      <c r="IM5" s="6" t="str">
        <f t="shared" si="3"/>
        <v/>
      </c>
      <c r="IN5" s="6" t="str">
        <f t="shared" si="3"/>
        <v/>
      </c>
      <c r="IO5" s="6" t="str">
        <f t="shared" si="3"/>
        <v/>
      </c>
      <c r="IP5" s="6" t="str">
        <f t="shared" si="3"/>
        <v/>
      </c>
      <c r="IQ5" s="6" t="str">
        <f t="shared" si="3"/>
        <v/>
      </c>
      <c r="IR5" s="6" t="str">
        <f t="shared" si="3"/>
        <v/>
      </c>
      <c r="IS5" s="6" t="str">
        <f t="shared" si="3"/>
        <v/>
      </c>
      <c r="IT5" s="6" t="str">
        <f t="shared" si="3"/>
        <v/>
      </c>
      <c r="IU5" s="6" t="str">
        <f t="shared" si="3"/>
        <v/>
      </c>
      <c r="IV5" s="6" t="str">
        <f t="shared" si="3"/>
        <v/>
      </c>
      <c r="IW5" s="6" t="str">
        <f t="shared" si="3"/>
        <v/>
      </c>
      <c r="IX5" s="6" t="str">
        <f t="shared" si="3"/>
        <v/>
      </c>
      <c r="IY5" s="6" t="str">
        <f t="shared" si="3"/>
        <v/>
      </c>
      <c r="IZ5" s="6" t="str">
        <f t="shared" ref="IZ5:LK5" si="4">IF(AND((COLUMN()-1)&gt;31*($A$3-1),MONTH(DATE($A$2+INT(($A$3+$A$1)/12),IF((INT((COLUMN()-1)/31.001)+$A$1)&gt;12,(INT((COLUMN()-1)/31.001)+$A$1-12),INT((COLUMN()-1)/31.001)+$A$1),ROUNDUP(MOD(COLUMN()-1,31.001),0)))=ROUNDUP(MOD($A$1+$A$3-1,12.01),0)),ROUNDUP(MOD(COLUMN()-1,31.001),0),"")</f>
        <v/>
      </c>
      <c r="JA5" s="6" t="str">
        <f t="shared" si="4"/>
        <v/>
      </c>
      <c r="JB5" s="6" t="str">
        <f t="shared" si="4"/>
        <v/>
      </c>
      <c r="JC5" s="6" t="str">
        <f t="shared" si="4"/>
        <v/>
      </c>
      <c r="JD5" s="6" t="str">
        <f t="shared" si="4"/>
        <v/>
      </c>
      <c r="JE5" s="6" t="str">
        <f t="shared" si="4"/>
        <v/>
      </c>
      <c r="JF5" s="6" t="str">
        <f t="shared" si="4"/>
        <v/>
      </c>
      <c r="JG5" s="6" t="str">
        <f t="shared" si="4"/>
        <v/>
      </c>
      <c r="JH5" s="6" t="str">
        <f t="shared" si="4"/>
        <v/>
      </c>
      <c r="JI5" s="6" t="str">
        <f t="shared" si="4"/>
        <v/>
      </c>
      <c r="JJ5" s="6" t="str">
        <f t="shared" si="4"/>
        <v/>
      </c>
      <c r="JK5" s="6" t="str">
        <f t="shared" si="4"/>
        <v/>
      </c>
      <c r="JL5" s="6" t="str">
        <f t="shared" si="4"/>
        <v/>
      </c>
      <c r="JM5" s="6" t="str">
        <f t="shared" si="4"/>
        <v/>
      </c>
      <c r="JN5" s="6" t="str">
        <f t="shared" si="4"/>
        <v/>
      </c>
      <c r="JO5" s="6" t="str">
        <f t="shared" si="4"/>
        <v/>
      </c>
      <c r="JP5" s="6" t="str">
        <f t="shared" si="4"/>
        <v/>
      </c>
      <c r="JQ5" s="6" t="str">
        <f t="shared" si="4"/>
        <v/>
      </c>
      <c r="JR5" s="6" t="str">
        <f t="shared" si="4"/>
        <v/>
      </c>
      <c r="JS5" s="6" t="str">
        <f t="shared" si="4"/>
        <v/>
      </c>
      <c r="JT5" s="6" t="str">
        <f t="shared" si="4"/>
        <v/>
      </c>
      <c r="JU5" s="6" t="str">
        <f t="shared" si="4"/>
        <v/>
      </c>
      <c r="JV5" s="6" t="str">
        <f t="shared" si="4"/>
        <v/>
      </c>
      <c r="JW5" s="6" t="str">
        <f t="shared" si="4"/>
        <v/>
      </c>
      <c r="JX5" s="6" t="str">
        <f t="shared" si="4"/>
        <v/>
      </c>
      <c r="JY5" s="6" t="str">
        <f t="shared" si="4"/>
        <v/>
      </c>
      <c r="JZ5" s="6" t="str">
        <f t="shared" si="4"/>
        <v/>
      </c>
      <c r="KA5" s="6" t="str">
        <f t="shared" si="4"/>
        <v/>
      </c>
      <c r="KB5" s="6" t="str">
        <f t="shared" si="4"/>
        <v/>
      </c>
      <c r="KC5" s="6" t="str">
        <f t="shared" si="4"/>
        <v/>
      </c>
      <c r="KD5" s="6" t="str">
        <f t="shared" si="4"/>
        <v/>
      </c>
      <c r="KE5" s="6" t="str">
        <f t="shared" si="4"/>
        <v/>
      </c>
      <c r="KF5" s="6" t="str">
        <f t="shared" si="4"/>
        <v/>
      </c>
      <c r="KG5" s="6" t="str">
        <f t="shared" si="4"/>
        <v/>
      </c>
      <c r="KH5" s="6" t="str">
        <f t="shared" si="4"/>
        <v/>
      </c>
      <c r="KI5" s="6" t="str">
        <f t="shared" si="4"/>
        <v/>
      </c>
      <c r="KJ5" s="6" t="str">
        <f t="shared" si="4"/>
        <v/>
      </c>
      <c r="KK5" s="6" t="str">
        <f t="shared" si="4"/>
        <v/>
      </c>
      <c r="KL5" s="6" t="str">
        <f t="shared" si="4"/>
        <v/>
      </c>
      <c r="KM5" s="6" t="str">
        <f t="shared" si="4"/>
        <v/>
      </c>
      <c r="KN5" s="6" t="str">
        <f t="shared" si="4"/>
        <v/>
      </c>
      <c r="KO5" s="6" t="str">
        <f t="shared" si="4"/>
        <v/>
      </c>
      <c r="KP5" s="6" t="str">
        <f t="shared" si="4"/>
        <v/>
      </c>
      <c r="KQ5" s="6" t="str">
        <f t="shared" si="4"/>
        <v/>
      </c>
      <c r="KR5" s="6" t="str">
        <f t="shared" si="4"/>
        <v/>
      </c>
      <c r="KS5" s="6" t="str">
        <f t="shared" si="4"/>
        <v/>
      </c>
      <c r="KT5" s="6" t="str">
        <f t="shared" si="4"/>
        <v/>
      </c>
      <c r="KU5" s="6" t="str">
        <f t="shared" si="4"/>
        <v/>
      </c>
      <c r="KV5" s="6" t="str">
        <f t="shared" si="4"/>
        <v/>
      </c>
      <c r="KW5" s="6" t="str">
        <f t="shared" si="4"/>
        <v/>
      </c>
      <c r="KX5" s="6" t="str">
        <f t="shared" si="4"/>
        <v/>
      </c>
      <c r="KY5" s="6" t="str">
        <f t="shared" si="4"/>
        <v/>
      </c>
      <c r="KZ5" s="6" t="str">
        <f t="shared" si="4"/>
        <v/>
      </c>
      <c r="LA5" s="6" t="str">
        <f t="shared" si="4"/>
        <v/>
      </c>
      <c r="LB5" s="6" t="str">
        <f t="shared" si="4"/>
        <v/>
      </c>
      <c r="LC5" s="6" t="str">
        <f t="shared" si="4"/>
        <v/>
      </c>
      <c r="LD5" s="6" t="str">
        <f t="shared" si="4"/>
        <v/>
      </c>
      <c r="LE5" s="6" t="str">
        <f t="shared" si="4"/>
        <v/>
      </c>
      <c r="LF5" s="6" t="str">
        <f t="shared" si="4"/>
        <v/>
      </c>
      <c r="LG5" s="6" t="str">
        <f t="shared" si="4"/>
        <v/>
      </c>
      <c r="LH5" s="6" t="str">
        <f t="shared" si="4"/>
        <v/>
      </c>
      <c r="LI5" s="6" t="str">
        <f t="shared" si="4"/>
        <v/>
      </c>
      <c r="LJ5" s="6" t="str">
        <f t="shared" si="4"/>
        <v/>
      </c>
      <c r="LK5" s="6" t="str">
        <f t="shared" si="4"/>
        <v/>
      </c>
      <c r="LL5" s="6" t="str">
        <f t="shared" ref="LL5:NJ5" si="5">IF(AND((COLUMN()-1)&gt;31*($A$3-1),MONTH(DATE($A$2+INT(($A$3+$A$1)/12),IF((INT((COLUMN()-1)/31.001)+$A$1)&gt;12,(INT((COLUMN()-1)/31.001)+$A$1-12),INT((COLUMN()-1)/31.001)+$A$1),ROUNDUP(MOD(COLUMN()-1,31.001),0)))=ROUNDUP(MOD($A$1+$A$3-1,12.01),0)),ROUNDUP(MOD(COLUMN()-1,31.001),0),"")</f>
        <v/>
      </c>
      <c r="LM5" s="6" t="str">
        <f t="shared" si="5"/>
        <v/>
      </c>
      <c r="LN5" s="6" t="str">
        <f t="shared" si="5"/>
        <v/>
      </c>
      <c r="LO5" s="6" t="str">
        <f t="shared" si="5"/>
        <v/>
      </c>
      <c r="LP5" s="6" t="str">
        <f t="shared" si="5"/>
        <v/>
      </c>
      <c r="LQ5" s="6" t="str">
        <f t="shared" si="5"/>
        <v/>
      </c>
      <c r="LR5" s="6" t="str">
        <f t="shared" si="5"/>
        <v/>
      </c>
      <c r="LS5" s="6" t="str">
        <f t="shared" si="5"/>
        <v/>
      </c>
      <c r="LT5" s="6" t="str">
        <f t="shared" si="5"/>
        <v/>
      </c>
      <c r="LU5" s="6" t="str">
        <f t="shared" si="5"/>
        <v/>
      </c>
      <c r="LV5" s="6" t="str">
        <f t="shared" si="5"/>
        <v/>
      </c>
      <c r="LW5" s="6" t="str">
        <f t="shared" si="5"/>
        <v/>
      </c>
      <c r="LX5" s="6" t="str">
        <f t="shared" si="5"/>
        <v/>
      </c>
      <c r="LY5" s="6" t="str">
        <f t="shared" si="5"/>
        <v/>
      </c>
      <c r="LZ5" s="6" t="str">
        <f t="shared" si="5"/>
        <v/>
      </c>
      <c r="MA5" s="6" t="str">
        <f t="shared" si="5"/>
        <v/>
      </c>
      <c r="MB5" s="6" t="str">
        <f t="shared" si="5"/>
        <v/>
      </c>
      <c r="MC5" s="6" t="str">
        <f t="shared" si="5"/>
        <v/>
      </c>
      <c r="MD5" s="6" t="str">
        <f t="shared" si="5"/>
        <v/>
      </c>
      <c r="ME5" s="6">
        <f t="shared" si="5"/>
        <v>1</v>
      </c>
      <c r="MF5" s="6">
        <f t="shared" si="5"/>
        <v>2</v>
      </c>
      <c r="MG5" s="6">
        <f t="shared" si="5"/>
        <v>3</v>
      </c>
      <c r="MH5" s="6">
        <f t="shared" si="5"/>
        <v>4</v>
      </c>
      <c r="MI5" s="6">
        <f t="shared" si="5"/>
        <v>5</v>
      </c>
      <c r="MJ5" s="6">
        <f t="shared" si="5"/>
        <v>6</v>
      </c>
      <c r="MK5" s="6">
        <f t="shared" si="5"/>
        <v>7</v>
      </c>
      <c r="ML5" s="6">
        <f t="shared" si="5"/>
        <v>8</v>
      </c>
      <c r="MM5" s="6">
        <f t="shared" si="5"/>
        <v>9</v>
      </c>
      <c r="MN5" s="6">
        <f t="shared" si="5"/>
        <v>10</v>
      </c>
      <c r="MO5" s="6">
        <f t="shared" si="5"/>
        <v>11</v>
      </c>
      <c r="MP5" s="6">
        <f t="shared" si="5"/>
        <v>12</v>
      </c>
      <c r="MQ5" s="6">
        <f t="shared" si="5"/>
        <v>13</v>
      </c>
      <c r="MR5" s="6">
        <f t="shared" si="5"/>
        <v>14</v>
      </c>
      <c r="MS5" s="6">
        <f t="shared" si="5"/>
        <v>15</v>
      </c>
      <c r="MT5" s="6">
        <f t="shared" si="5"/>
        <v>16</v>
      </c>
      <c r="MU5" s="6">
        <f t="shared" si="5"/>
        <v>17</v>
      </c>
      <c r="MV5" s="6">
        <f t="shared" si="5"/>
        <v>18</v>
      </c>
      <c r="MW5" s="6">
        <f t="shared" si="5"/>
        <v>19</v>
      </c>
      <c r="MX5" s="6">
        <f t="shared" si="5"/>
        <v>20</v>
      </c>
      <c r="MY5" s="6">
        <f t="shared" si="5"/>
        <v>21</v>
      </c>
      <c r="MZ5" s="6">
        <f t="shared" si="5"/>
        <v>22</v>
      </c>
      <c r="NA5" s="6">
        <f t="shared" si="5"/>
        <v>23</v>
      </c>
      <c r="NB5" s="6">
        <f t="shared" si="5"/>
        <v>24</v>
      </c>
      <c r="NC5" s="6">
        <f t="shared" si="5"/>
        <v>25</v>
      </c>
      <c r="ND5" s="6">
        <f t="shared" si="5"/>
        <v>26</v>
      </c>
      <c r="NE5" s="6">
        <f t="shared" si="5"/>
        <v>27</v>
      </c>
      <c r="NF5" s="6">
        <f t="shared" si="5"/>
        <v>28</v>
      </c>
      <c r="NG5" s="6">
        <f t="shared" si="5"/>
        <v>29</v>
      </c>
      <c r="NH5" s="6">
        <f t="shared" si="5"/>
        <v>30</v>
      </c>
      <c r="NI5" s="6">
        <f t="shared" si="5"/>
        <v>31</v>
      </c>
      <c r="NJ5" s="6" t="str">
        <f t="shared" si="5"/>
        <v/>
      </c>
      <c r="NK5" s="36" t="s">
        <v>33</v>
      </c>
      <c r="NL5" s="34" t="s">
        <v>26</v>
      </c>
      <c r="NM5" s="34" t="s">
        <v>49</v>
      </c>
      <c r="NN5" s="34" t="s">
        <v>27</v>
      </c>
      <c r="NO5" s="34" t="s">
        <v>37</v>
      </c>
      <c r="NP5" s="33" t="s">
        <v>28</v>
      </c>
      <c r="NQ5" s="33" t="s">
        <v>40</v>
      </c>
      <c r="NR5" s="33" t="s">
        <v>41</v>
      </c>
      <c r="NS5" s="33" t="s">
        <v>51</v>
      </c>
      <c r="NT5" s="33" t="s">
        <v>35</v>
      </c>
      <c r="NU5" s="33" t="s">
        <v>36</v>
      </c>
    </row>
    <row r="6" spans="1:761" x14ac:dyDescent="0.25">
      <c r="A6" s="3" t="s">
        <v>29</v>
      </c>
      <c r="B6" s="8" t="str">
        <f>IF(B$5="","",VLOOKUP(WEEKDAY(DATE($A$2,$A$3+$A$1-1,B5),2),Sheet3!$D$1:$E$7,2,0))</f>
        <v/>
      </c>
      <c r="C6" s="8" t="str">
        <f>IF(C$5="","",VLOOKUP(WEEKDAY(DATE($A$2,$A$3+$A$1-1,C5),2),Sheet3!$D$1:$E$7,2,0))</f>
        <v/>
      </c>
      <c r="D6" s="8" t="str">
        <f>IF(D$5="","",VLOOKUP(WEEKDAY(DATE($A$2,$A$3+$A$1-1,D5),2),Sheet3!$D$1:$E$7,2,0))</f>
        <v/>
      </c>
      <c r="E6" s="8" t="str">
        <f>IF(E$5="","",VLOOKUP(WEEKDAY(DATE($A$2,$A$3+$A$1-1,E5),2),Sheet3!$D$1:$E$7,2,0))</f>
        <v/>
      </c>
      <c r="F6" s="8" t="str">
        <f>IF(F$5="","",VLOOKUP(WEEKDAY(DATE($A$2,$A$3+$A$1-1,F5),2),Sheet3!$D$1:$E$7,2,0))</f>
        <v/>
      </c>
      <c r="G6" s="8" t="str">
        <f>IF(G$5="","",VLOOKUP(WEEKDAY(DATE($A$2,$A$3+$A$1-1,G5),2),Sheet3!$D$1:$E$7,2,0))</f>
        <v/>
      </c>
      <c r="H6" s="8" t="str">
        <f>IF(H$5="","",VLOOKUP(WEEKDAY(DATE($A$2,$A$3+$A$1-1,H5),2),Sheet3!$D$1:$E$7,2,0))</f>
        <v/>
      </c>
      <c r="I6" s="8" t="str">
        <f>IF(I$5="","",VLOOKUP(WEEKDAY(DATE($A$2,$A$3+$A$1-1,I5),2),Sheet3!$D$1:$E$7,2,0))</f>
        <v/>
      </c>
      <c r="J6" s="8" t="str">
        <f>IF(J$5="","",VLOOKUP(WEEKDAY(DATE($A$2,$A$3+$A$1-1,J5),2),Sheet3!$D$1:$E$7,2,0))</f>
        <v/>
      </c>
      <c r="K6" s="8" t="str">
        <f>IF(K$5="","",VLOOKUP(WEEKDAY(DATE($A$2,$A$3+$A$1-1,K5),2),Sheet3!$D$1:$E$7,2,0))</f>
        <v/>
      </c>
      <c r="L6" s="8" t="str">
        <f>IF(L$5="","",VLOOKUP(WEEKDAY(DATE($A$2,$A$3+$A$1-1,L5),2),Sheet3!$D$1:$E$7,2,0))</f>
        <v/>
      </c>
      <c r="M6" s="8" t="str">
        <f>IF(M$5="","",VLOOKUP(WEEKDAY(DATE($A$2,$A$3+$A$1-1,M5),2),Sheet3!$D$1:$E$7,2,0))</f>
        <v/>
      </c>
      <c r="N6" s="8" t="str">
        <f>IF(N$5="","",VLOOKUP(WEEKDAY(DATE($A$2,$A$3+$A$1-1,N5),2),Sheet3!$D$1:$E$7,2,0))</f>
        <v/>
      </c>
      <c r="O6" s="8" t="str">
        <f>IF(O$5="","",VLOOKUP(WEEKDAY(DATE($A$2,$A$3+$A$1-1,O5),2),Sheet3!$D$1:$E$7,2,0))</f>
        <v/>
      </c>
      <c r="P6" s="8" t="str">
        <f>IF(P$5="","",VLOOKUP(WEEKDAY(DATE($A$2,$A$3+$A$1-1,P5),2),Sheet3!$D$1:$E$7,2,0))</f>
        <v/>
      </c>
      <c r="Q6" s="8" t="str">
        <f>IF(Q$5="","",VLOOKUP(WEEKDAY(DATE($A$2,$A$3+$A$1-1,Q5),2),Sheet3!$D$1:$E$7,2,0))</f>
        <v/>
      </c>
      <c r="R6" s="8" t="str">
        <f>IF(R$5="","",VLOOKUP(WEEKDAY(DATE($A$2,$A$3+$A$1-1,R5),2),Sheet3!$D$1:$E$7,2,0))</f>
        <v/>
      </c>
      <c r="S6" s="8" t="str">
        <f>IF(S$5="","",VLOOKUP(WEEKDAY(DATE($A$2,$A$3+$A$1-1,S5),2),Sheet3!$D$1:$E$7,2,0))</f>
        <v/>
      </c>
      <c r="T6" s="8" t="str">
        <f>IF(T$5="","",VLOOKUP(WEEKDAY(DATE($A$2,$A$3+$A$1-1,T5),2),Sheet3!$D$1:$E$7,2,0))</f>
        <v/>
      </c>
      <c r="U6" s="8" t="str">
        <f>IF(U$5="","",VLOOKUP(WEEKDAY(DATE($A$2,$A$3+$A$1-1,U5),2),Sheet3!$D$1:$E$7,2,0))</f>
        <v/>
      </c>
      <c r="V6" s="8" t="str">
        <f>IF(V$5="","",VLOOKUP(WEEKDAY(DATE($A$2,$A$3+$A$1-1,V5),2),Sheet3!$D$1:$E$7,2,0))</f>
        <v/>
      </c>
      <c r="W6" s="8" t="str">
        <f>IF(W$5="","",VLOOKUP(WEEKDAY(DATE($A$2,$A$3+$A$1-1,W5),2),Sheet3!$D$1:$E$7,2,0))</f>
        <v/>
      </c>
      <c r="X6" s="8" t="str">
        <f>IF(X$5="","",VLOOKUP(WEEKDAY(DATE($A$2,$A$3+$A$1-1,X5),2),Sheet3!$D$1:$E$7,2,0))</f>
        <v/>
      </c>
      <c r="Y6" s="8" t="str">
        <f>IF(Y$5="","",VLOOKUP(WEEKDAY(DATE($A$2,$A$3+$A$1-1,Y5),2),Sheet3!$D$1:$E$7,2,0))</f>
        <v/>
      </c>
      <c r="Z6" s="8" t="str">
        <f>IF(Z$5="","",VLOOKUP(WEEKDAY(DATE($A$2,$A$3+$A$1-1,Z5),2),Sheet3!$D$1:$E$7,2,0))</f>
        <v/>
      </c>
      <c r="AA6" s="8" t="str">
        <f>IF(AA$5="","",VLOOKUP(WEEKDAY(DATE($A$2,$A$3+$A$1-1,AA5),2),Sheet3!$D$1:$E$7,2,0))</f>
        <v/>
      </c>
      <c r="AB6" s="8" t="str">
        <f>IF(AB$5="","",VLOOKUP(WEEKDAY(DATE($A$2,$A$3+$A$1-1,AB5),2),Sheet3!$D$1:$E$7,2,0))</f>
        <v/>
      </c>
      <c r="AC6" s="8" t="str">
        <f>IF(AC$5="","",VLOOKUP(WEEKDAY(DATE($A$2,$A$3+$A$1-1,AC5),2),Sheet3!$D$1:$E$7,2,0))</f>
        <v/>
      </c>
      <c r="AD6" s="8" t="str">
        <f>IF(AD$5="","",VLOOKUP(WEEKDAY(DATE($A$2,$A$3+$A$1-1,AD5),2),Sheet3!$D$1:$E$7,2,0))</f>
        <v/>
      </c>
      <c r="AE6" s="8" t="str">
        <f>IF(AE$5="","",VLOOKUP(WEEKDAY(DATE($A$2,$A$3+$A$1-1,AE5),2),Sheet3!$D$1:$E$7,2,0))</f>
        <v/>
      </c>
      <c r="AF6" s="8" t="str">
        <f>IF(AF$5="","",VLOOKUP(WEEKDAY(DATE($A$2,$A$3+$A$1-1,AF5),2),Sheet3!$D$1:$E$7,2,0))</f>
        <v/>
      </c>
      <c r="AG6" s="8" t="str">
        <f>IF(AG$5="","",VLOOKUP(WEEKDAY(DATE($A$2,$A$3+$A$1-1,AG5),2),Sheet3!$D$1:$E$7,2,0))</f>
        <v/>
      </c>
      <c r="AH6" s="8" t="str">
        <f>IF(AH$5="","",VLOOKUP(WEEKDAY(DATE($A$2,$A$3+$A$1-1,AH5),2),Sheet3!$D$1:$E$7,2,0))</f>
        <v/>
      </c>
      <c r="AI6" s="8" t="str">
        <f>IF(AI$5="","",VLOOKUP(WEEKDAY(DATE($A$2,$A$3+$A$1-1,AI5),2),Sheet3!$D$1:$E$7,2,0))</f>
        <v/>
      </c>
      <c r="AJ6" s="8" t="str">
        <f>IF(AJ$5="","",VLOOKUP(WEEKDAY(DATE($A$2,$A$3+$A$1-1,AJ5),2),Sheet3!$D$1:$E$7,2,0))</f>
        <v/>
      </c>
      <c r="AK6" s="8" t="str">
        <f>IF(AK$5="","",VLOOKUP(WEEKDAY(DATE($A$2,$A$3+$A$1-1,AK5),2),Sheet3!$D$1:$E$7,2,0))</f>
        <v/>
      </c>
      <c r="AL6" s="8" t="str">
        <f>IF(AL$5="","",VLOOKUP(WEEKDAY(DATE($A$2,$A$3+$A$1-1,AL5),2),Sheet3!$D$1:$E$7,2,0))</f>
        <v/>
      </c>
      <c r="AM6" s="8" t="str">
        <f>IF(AM$5="","",VLOOKUP(WEEKDAY(DATE($A$2,$A$3+$A$1-1,AM5),2),Sheet3!$D$1:$E$7,2,0))</f>
        <v/>
      </c>
      <c r="AN6" s="8" t="str">
        <f>IF(AN$5="","",VLOOKUP(WEEKDAY(DATE($A$2,$A$3+$A$1-1,AN5),2),Sheet3!$D$1:$E$7,2,0))</f>
        <v/>
      </c>
      <c r="AO6" s="8" t="str">
        <f>IF(AO$5="","",VLOOKUP(WEEKDAY(DATE($A$2,$A$3+$A$1-1,AO5),2),Sheet3!$D$1:$E$7,2,0))</f>
        <v/>
      </c>
      <c r="AP6" s="8" t="str">
        <f>IF(AP$5="","",VLOOKUP(WEEKDAY(DATE($A$2,$A$3+$A$1-1,AP5),2),Sheet3!$D$1:$E$7,2,0))</f>
        <v/>
      </c>
      <c r="AQ6" s="8" t="str">
        <f>IF(AQ$5="","",VLOOKUP(WEEKDAY(DATE($A$2,$A$3+$A$1-1,AQ5),2),Sheet3!$D$1:$E$7,2,0))</f>
        <v/>
      </c>
      <c r="AR6" s="8" t="str">
        <f>IF(AR$5="","",VLOOKUP(WEEKDAY(DATE($A$2,$A$3+$A$1-1,AR5),2),Sheet3!$D$1:$E$7,2,0))</f>
        <v/>
      </c>
      <c r="AS6" s="8" t="str">
        <f>IF(AS$5="","",VLOOKUP(WEEKDAY(DATE($A$2,$A$3+$A$1-1,AS5),2),Sheet3!$D$1:$E$7,2,0))</f>
        <v/>
      </c>
      <c r="AT6" s="8" t="str">
        <f>IF(AT$5="","",VLOOKUP(WEEKDAY(DATE($A$2,$A$3+$A$1-1,AT5),2),Sheet3!$D$1:$E$7,2,0))</f>
        <v/>
      </c>
      <c r="AU6" s="8" t="str">
        <f>IF(AU$5="","",VLOOKUP(WEEKDAY(DATE($A$2,$A$3+$A$1-1,AU5),2),Sheet3!$D$1:$E$7,2,0))</f>
        <v/>
      </c>
      <c r="AV6" s="8" t="str">
        <f>IF(AV$5="","",VLOOKUP(WEEKDAY(DATE($A$2,$A$3+$A$1-1,AV5),2),Sheet3!$D$1:$E$7,2,0))</f>
        <v/>
      </c>
      <c r="AW6" s="8" t="str">
        <f>IF(AW$5="","",VLOOKUP(WEEKDAY(DATE($A$2,$A$3+$A$1-1,AW5),2),Sheet3!$D$1:$E$7,2,0))</f>
        <v/>
      </c>
      <c r="AX6" s="8" t="str">
        <f>IF(AX$5="","",VLOOKUP(WEEKDAY(DATE($A$2,$A$3+$A$1-1,AX5),2),Sheet3!$D$1:$E$7,2,0))</f>
        <v/>
      </c>
      <c r="AY6" s="8" t="str">
        <f>IF(AY$5="","",VLOOKUP(WEEKDAY(DATE($A$2,$A$3+$A$1-1,AY5),2),Sheet3!$D$1:$E$7,2,0))</f>
        <v/>
      </c>
      <c r="AZ6" s="8" t="str">
        <f>IF(AZ$5="","",VLOOKUP(WEEKDAY(DATE($A$2,$A$3+$A$1-1,AZ5),2),Sheet3!$D$1:$E$7,2,0))</f>
        <v/>
      </c>
      <c r="BA6" s="8" t="str">
        <f>IF(BA$5="","",VLOOKUP(WEEKDAY(DATE($A$2,$A$3+$A$1-1,BA5),2),Sheet3!$D$1:$E$7,2,0))</f>
        <v/>
      </c>
      <c r="BB6" s="8" t="str">
        <f>IF(BB$5="","",VLOOKUP(WEEKDAY(DATE($A$2,$A$3+$A$1-1,BB5),2),Sheet3!$D$1:$E$7,2,0))</f>
        <v/>
      </c>
      <c r="BC6" s="8" t="str">
        <f>IF(BC$5="","",VLOOKUP(WEEKDAY(DATE($A$2,$A$3+$A$1-1,BC5),2),Sheet3!$D$1:$E$7,2,0))</f>
        <v/>
      </c>
      <c r="BD6" s="8" t="str">
        <f>IF(BD$5="","",VLOOKUP(WEEKDAY(DATE($A$2,$A$3+$A$1-1,BD5),2),Sheet3!$D$1:$E$7,2,0))</f>
        <v/>
      </c>
      <c r="BE6" s="8" t="str">
        <f>IF(BE$5="","",VLOOKUP(WEEKDAY(DATE($A$2,$A$3+$A$1-1,BE5),2),Sheet3!$D$1:$E$7,2,0))</f>
        <v/>
      </c>
      <c r="BF6" s="8" t="str">
        <f>IF(BF$5="","",VLOOKUP(WEEKDAY(DATE($A$2,$A$3+$A$1-1,BF5),2),Sheet3!$D$1:$E$7,2,0))</f>
        <v/>
      </c>
      <c r="BG6" s="8" t="str">
        <f>IF(BG$5="","",VLOOKUP(WEEKDAY(DATE($A$2,$A$3+$A$1-1,BG5),2),Sheet3!$D$1:$E$7,2,0))</f>
        <v/>
      </c>
      <c r="BH6" s="8" t="str">
        <f>IF(BH$5="","",VLOOKUP(WEEKDAY(DATE($A$2,$A$3+$A$1-1,BH5),2),Sheet3!$D$1:$E$7,2,0))</f>
        <v/>
      </c>
      <c r="BI6" s="8" t="str">
        <f>IF(BI$5="","",VLOOKUP(WEEKDAY(DATE($A$2,$A$3+$A$1-1,BI5),2),Sheet3!$D$1:$E$7,2,0))</f>
        <v/>
      </c>
      <c r="BJ6" s="8" t="str">
        <f>IF(BJ$5="","",VLOOKUP(WEEKDAY(DATE($A$2,$A$3+$A$1-1,BJ5),2),Sheet3!$D$1:$E$7,2,0))</f>
        <v/>
      </c>
      <c r="BK6" s="8" t="str">
        <f>IF(BK$5="","",VLOOKUP(WEEKDAY(DATE($A$2,$A$3+$A$1-1,BK5),2),Sheet3!$D$1:$E$7,2,0))</f>
        <v/>
      </c>
      <c r="BL6" s="8" t="str">
        <f>IF(BL$5="","",VLOOKUP(WEEKDAY(DATE($A$2,$A$3+$A$1-1,BL5),2),Sheet3!$D$1:$E$7,2,0))</f>
        <v/>
      </c>
      <c r="BM6" s="8" t="str">
        <f>IF(BM$5="","",VLOOKUP(WEEKDAY(DATE($A$2,$A$3+$A$1-1,BM5),2),Sheet3!$D$1:$E$7,2,0))</f>
        <v/>
      </c>
      <c r="BN6" s="8" t="str">
        <f>IF(BN$5="","",VLOOKUP(WEEKDAY(DATE($A$2,$A$3+$A$1-1,BN5),2),Sheet3!$D$1:$E$7,2,0))</f>
        <v/>
      </c>
      <c r="BO6" s="8" t="str">
        <f>IF(BO$5="","",VLOOKUP(WEEKDAY(DATE($A$2,$A$3+$A$1-1,BO5),2),Sheet3!$D$1:$E$7,2,0))</f>
        <v/>
      </c>
      <c r="BP6" s="8" t="str">
        <f>IF(BP$5="","",VLOOKUP(WEEKDAY(DATE($A$2,$A$3+$A$1-1,BP5),2),Sheet3!$D$1:$E$7,2,0))</f>
        <v/>
      </c>
      <c r="BQ6" s="8" t="str">
        <f>IF(BQ$5="","",VLOOKUP(WEEKDAY(DATE($A$2,$A$3+$A$1-1,BQ5),2),Sheet3!$D$1:$E$7,2,0))</f>
        <v/>
      </c>
      <c r="BR6" s="8" t="str">
        <f>IF(BR$5="","",VLOOKUP(WEEKDAY(DATE($A$2,$A$3+$A$1-1,BR5),2),Sheet3!$D$1:$E$7,2,0))</f>
        <v/>
      </c>
      <c r="BS6" s="8" t="str">
        <f>IF(BS$5="","",VLOOKUP(WEEKDAY(DATE($A$2,$A$3+$A$1-1,BS5),2),Sheet3!$D$1:$E$7,2,0))</f>
        <v/>
      </c>
      <c r="BT6" s="8" t="str">
        <f>IF(BT$5="","",VLOOKUP(WEEKDAY(DATE($A$2,$A$3+$A$1-1,BT5),2),Sheet3!$D$1:$E$7,2,0))</f>
        <v/>
      </c>
      <c r="BU6" s="8" t="str">
        <f>IF(BU$5="","",VLOOKUP(WEEKDAY(DATE($A$2,$A$3+$A$1-1,BU5),2),Sheet3!$D$1:$E$7,2,0))</f>
        <v/>
      </c>
      <c r="BV6" s="8" t="str">
        <f>IF(BV$5="","",VLOOKUP(WEEKDAY(DATE($A$2,$A$3+$A$1-1,BV5),2),Sheet3!$D$1:$E$7,2,0))</f>
        <v/>
      </c>
      <c r="BW6" s="8" t="str">
        <f>IF(BW$5="","",VLOOKUP(WEEKDAY(DATE($A$2,$A$3+$A$1-1,BW5),2),Sheet3!$D$1:$E$7,2,0))</f>
        <v/>
      </c>
      <c r="BX6" s="8" t="str">
        <f>IF(BX$5="","",VLOOKUP(WEEKDAY(DATE($A$2,$A$3+$A$1-1,BX5),2),Sheet3!$D$1:$E$7,2,0))</f>
        <v/>
      </c>
      <c r="BY6" s="8" t="str">
        <f>IF(BY$5="","",VLOOKUP(WEEKDAY(DATE($A$2,$A$3+$A$1-1,BY5),2),Sheet3!$D$1:$E$7,2,0))</f>
        <v/>
      </c>
      <c r="BZ6" s="8" t="str">
        <f>IF(BZ$5="","",VLOOKUP(WEEKDAY(DATE($A$2,$A$3+$A$1-1,BZ5),2),Sheet3!$D$1:$E$7,2,0))</f>
        <v/>
      </c>
      <c r="CA6" s="8" t="str">
        <f>IF(CA$5="","",VLOOKUP(WEEKDAY(DATE($A$2,$A$3+$A$1-1,CA5),2),Sheet3!$D$1:$E$7,2,0))</f>
        <v/>
      </c>
      <c r="CB6" s="8" t="str">
        <f>IF(CB$5="","",VLOOKUP(WEEKDAY(DATE($A$2,$A$3+$A$1-1,CB5),2),Sheet3!$D$1:$E$7,2,0))</f>
        <v/>
      </c>
      <c r="CC6" s="8" t="str">
        <f>IF(CC$5="","",VLOOKUP(WEEKDAY(DATE($A$2,$A$3+$A$1-1,CC5),2),Sheet3!$D$1:$E$7,2,0))</f>
        <v/>
      </c>
      <c r="CD6" s="8" t="str">
        <f>IF(CD$5="","",VLOOKUP(WEEKDAY(DATE($A$2,$A$3+$A$1-1,CD5),2),Sheet3!$D$1:$E$7,2,0))</f>
        <v/>
      </c>
      <c r="CE6" s="8" t="str">
        <f>IF(CE$5="","",VLOOKUP(WEEKDAY(DATE($A$2,$A$3+$A$1-1,CE5),2),Sheet3!$D$1:$E$7,2,0))</f>
        <v/>
      </c>
      <c r="CF6" s="8" t="str">
        <f>IF(CF$5="","",VLOOKUP(WEEKDAY(DATE($A$2,$A$3+$A$1-1,CF5),2),Sheet3!$D$1:$E$7,2,0))</f>
        <v/>
      </c>
      <c r="CG6" s="8" t="str">
        <f>IF(CG$5="","",VLOOKUP(WEEKDAY(DATE($A$2,$A$3+$A$1-1,CG5),2),Sheet3!$D$1:$E$7,2,0))</f>
        <v/>
      </c>
      <c r="CH6" s="8" t="str">
        <f>IF(CH$5="","",VLOOKUP(WEEKDAY(DATE($A$2,$A$3+$A$1-1,CH5),2),Sheet3!$D$1:$E$7,2,0))</f>
        <v/>
      </c>
      <c r="CI6" s="8" t="str">
        <f>IF(CI$5="","",VLOOKUP(WEEKDAY(DATE($A$2,$A$3+$A$1-1,CI5),2),Sheet3!$D$1:$E$7,2,0))</f>
        <v/>
      </c>
      <c r="CJ6" s="8" t="str">
        <f>IF(CJ$5="","",VLOOKUP(WEEKDAY(DATE($A$2,$A$3+$A$1-1,CJ5),2),Sheet3!$D$1:$E$7,2,0))</f>
        <v/>
      </c>
      <c r="CK6" s="8" t="str">
        <f>IF(CK$5="","",VLOOKUP(WEEKDAY(DATE($A$2,$A$3+$A$1-1,CK5),2),Sheet3!$D$1:$E$7,2,0))</f>
        <v/>
      </c>
      <c r="CL6" s="8" t="str">
        <f>IF(CL$5="","",VLOOKUP(WEEKDAY(DATE($A$2,$A$3+$A$1-1,CL5),2),Sheet3!$D$1:$E$7,2,0))</f>
        <v/>
      </c>
      <c r="CM6" s="8" t="str">
        <f>IF(CM$5="","",VLOOKUP(WEEKDAY(DATE($A$2,$A$3+$A$1-1,CM5),2),Sheet3!$D$1:$E$7,2,0))</f>
        <v/>
      </c>
      <c r="CN6" s="8" t="str">
        <f>IF(CN$5="","",VLOOKUP(WEEKDAY(DATE($A$2,$A$3+$A$1-1,CN5),2),Sheet3!$D$1:$E$7,2,0))</f>
        <v/>
      </c>
      <c r="CO6" s="8" t="str">
        <f>IF(CO$5="","",VLOOKUP(WEEKDAY(DATE($A$2,$A$3+$A$1-1,CO5),2),Sheet3!$D$1:$E$7,2,0))</f>
        <v/>
      </c>
      <c r="CP6" s="8" t="str">
        <f>IF(CP$5="","",VLOOKUP(WEEKDAY(DATE($A$2,$A$3+$A$1-1,CP5),2),Sheet3!$D$1:$E$7,2,0))</f>
        <v/>
      </c>
      <c r="CQ6" s="8" t="s">
        <v>59</v>
      </c>
      <c r="CR6" s="8" t="str">
        <f>IF(CR$5="","",VLOOKUP(WEEKDAY(DATE($A$2,$A$3+$A$1-1,CR5),2),Sheet3!$D$1:$E$7,2,0))</f>
        <v/>
      </c>
      <c r="CS6" s="8" t="str">
        <f>IF(CS$5="","",VLOOKUP(WEEKDAY(DATE($A$2,$A$3+$A$1-1,CS5),2),Sheet3!$D$1:$E$7,2,0))</f>
        <v/>
      </c>
      <c r="CT6" s="8" t="str">
        <f>IF(CT$5="","",VLOOKUP(WEEKDAY(DATE($A$2,$A$3+$A$1-1,CT5),2),Sheet3!$D$1:$E$7,2,0))</f>
        <v/>
      </c>
      <c r="CU6" s="8" t="str">
        <f>IF(CU$5="","",VLOOKUP(WEEKDAY(DATE($A$2,$A$3+$A$1-1,CU5),2),Sheet3!$D$1:$E$7,2,0))</f>
        <v/>
      </c>
      <c r="CV6" s="8" t="str">
        <f>IF(CV$5="","",VLOOKUP(WEEKDAY(DATE($A$2,$A$3+$A$1-1,CV5),2),Sheet3!$D$1:$E$7,2,0))</f>
        <v/>
      </c>
      <c r="CW6" s="8" t="str">
        <f>IF(CW$5="","",VLOOKUP(WEEKDAY(DATE($A$2,$A$3+$A$1-1,CW5),2),Sheet3!$D$1:$E$7,2,0))</f>
        <v/>
      </c>
      <c r="CX6" s="8" t="str">
        <f>IF(CX$5="","",VLOOKUP(WEEKDAY(DATE($A$2,$A$3+$A$1-1,CX5),2),Sheet3!$D$1:$E$7,2,0))</f>
        <v/>
      </c>
      <c r="CY6" s="8" t="str">
        <f>IF(CY$5="","",VLOOKUP(WEEKDAY(DATE($A$2,$A$3+$A$1-1,CY5),2),Sheet3!$D$1:$E$7,2,0))</f>
        <v/>
      </c>
      <c r="CZ6" s="8" t="str">
        <f>IF(CZ$5="","",VLOOKUP(WEEKDAY(DATE($A$2,$A$3+$A$1-1,CZ5),2),Sheet3!$D$1:$E$7,2,0))</f>
        <v/>
      </c>
      <c r="DA6" s="8" t="str">
        <f>IF(DA$5="","",VLOOKUP(WEEKDAY(DATE($A$2,$A$3+$A$1-1,DA5),2),Sheet3!$D$1:$E$7,2,0))</f>
        <v/>
      </c>
      <c r="DB6" s="8" t="str">
        <f>IF(DB$5="","",VLOOKUP(WEEKDAY(DATE($A$2,$A$3+$A$1-1,DB5),2),Sheet3!$D$1:$E$7,2,0))</f>
        <v/>
      </c>
      <c r="DC6" s="8" t="str">
        <f>IF(DC$5="","",VLOOKUP(WEEKDAY(DATE($A$2,$A$3+$A$1-1,DC5),2),Sheet3!$D$1:$E$7,2,0))</f>
        <v/>
      </c>
      <c r="DD6" s="8" t="str">
        <f>IF(DD$5="","",VLOOKUP(WEEKDAY(DATE($A$2,$A$3+$A$1-1,DD5),2),Sheet3!$D$1:$E$7,2,0))</f>
        <v/>
      </c>
      <c r="DE6" s="8" t="str">
        <f>IF(DE$5="","",VLOOKUP(WEEKDAY(DATE($A$2,$A$3+$A$1-1,DE5),2),Sheet3!$D$1:$E$7,2,0))</f>
        <v/>
      </c>
      <c r="DF6" s="8" t="str">
        <f>IF(DF$5="","",VLOOKUP(WEEKDAY(DATE($A$2,$A$3+$A$1-1,DF5),2),Sheet3!$D$1:$E$7,2,0))</f>
        <v/>
      </c>
      <c r="DG6" s="8" t="str">
        <f>IF(DG$5="","",VLOOKUP(WEEKDAY(DATE($A$2,$A$3+$A$1-1,DG5),2),Sheet3!$D$1:$E$7,2,0))</f>
        <v/>
      </c>
      <c r="DH6" s="8" t="str">
        <f>IF(DH$5="","",VLOOKUP(WEEKDAY(DATE($A$2,$A$3+$A$1-1,DH5),2),Sheet3!$D$1:$E$7,2,0))</f>
        <v/>
      </c>
      <c r="DI6" s="8" t="str">
        <f>IF(DI$5="","",VLOOKUP(WEEKDAY(DATE($A$2,$A$3+$A$1-1,DI5),2),Sheet3!$D$1:$E$7,2,0))</f>
        <v/>
      </c>
      <c r="DJ6" s="8" t="str">
        <f>IF(DJ$5="","",VLOOKUP(WEEKDAY(DATE($A$2,$A$3+$A$1-1,DJ5),2),Sheet3!$D$1:$E$7,2,0))</f>
        <v/>
      </c>
      <c r="DK6" s="8" t="str">
        <f>IF(DK$5="","",VLOOKUP(WEEKDAY(DATE($A$2,$A$3+$A$1-1,DK5),2),Sheet3!$D$1:$E$7,2,0))</f>
        <v/>
      </c>
      <c r="DL6" s="8" t="str">
        <f>IF(DL$5="","",VLOOKUP(WEEKDAY(DATE($A$2,$A$3+$A$1-1,DL5),2),Sheet3!$D$1:$E$7,2,0))</f>
        <v/>
      </c>
      <c r="DM6" s="8" t="str">
        <f>IF(DM$5="","",VLOOKUP(WEEKDAY(DATE($A$2,$A$3+$A$1-1,DM5),2),Sheet3!$D$1:$E$7,2,0))</f>
        <v/>
      </c>
      <c r="DN6" s="8" t="str">
        <f>IF(DN$5="","",VLOOKUP(WEEKDAY(DATE($A$2,$A$3+$A$1-1,DN5),2),Sheet3!$D$1:$E$7,2,0))</f>
        <v/>
      </c>
      <c r="DO6" s="8" t="str">
        <f>IF(DO$5="","",VLOOKUP(WEEKDAY(DATE($A$2,$A$3+$A$1-1,DO5),2),Sheet3!$D$1:$E$7,2,0))</f>
        <v/>
      </c>
      <c r="DP6" s="8" t="str">
        <f>IF(DP$5="","",VLOOKUP(WEEKDAY(DATE($A$2,$A$3+$A$1-1,DP5),2),Sheet3!$D$1:$E$7,2,0))</f>
        <v/>
      </c>
      <c r="DQ6" s="8" t="str">
        <f>IF(DQ$5="","",VLOOKUP(WEEKDAY(DATE($A$2,$A$3+$A$1-1,DQ5),2),Sheet3!$D$1:$E$7,2,0))</f>
        <v/>
      </c>
      <c r="DR6" s="8" t="str">
        <f>IF(DR$5="","",VLOOKUP(WEEKDAY(DATE($A$2,$A$3+$A$1-1,DR5),2),Sheet3!$D$1:$E$7,2,0))</f>
        <v/>
      </c>
      <c r="DS6" s="8" t="str">
        <f>IF(DS$5="","",VLOOKUP(WEEKDAY(DATE($A$2,$A$3+$A$1-1,DS5),2),Sheet3!$D$1:$E$7,2,0))</f>
        <v/>
      </c>
      <c r="DT6" s="8" t="str">
        <f>IF(DT$5="","",VLOOKUP(WEEKDAY(DATE($A$2,$A$3+$A$1-1,DT5),2),Sheet3!$D$1:$E$7,2,0))</f>
        <v/>
      </c>
      <c r="DU6" s="8" t="str">
        <f>IF(DU$5="","",VLOOKUP(WEEKDAY(DATE($A$2,$A$3+$A$1-1,DU5),2),Sheet3!$D$1:$E$7,2,0))</f>
        <v/>
      </c>
      <c r="DV6" s="8" t="str">
        <f>IF(DV$5="","",VLOOKUP(WEEKDAY(DATE($A$2,$A$3+$A$1-1,DV5),2),Sheet3!$D$1:$E$7,2,0))</f>
        <v/>
      </c>
      <c r="DW6" s="8" t="str">
        <f>IF(DW$5="","",VLOOKUP(WEEKDAY(DATE($A$2,$A$3+$A$1-1,DW5),2),Sheet3!$D$1:$E$7,2,0))</f>
        <v/>
      </c>
      <c r="DX6" s="8" t="str">
        <f>IF(DX$5="","",VLOOKUP(WEEKDAY(DATE($A$2,$A$3+$A$1-1,DX5),2),Sheet3!$D$1:$E$7,2,0))</f>
        <v/>
      </c>
      <c r="DY6" s="8" t="str">
        <f>IF(DY$5="","",VLOOKUP(WEEKDAY(DATE($A$2,$A$3+$A$1-1,DY5),2),Sheet3!$D$1:$E$7,2,0))</f>
        <v/>
      </c>
      <c r="DZ6" s="8" t="str">
        <f>IF(DZ$5="","",VLOOKUP(WEEKDAY(DATE($A$2,$A$3+$A$1-1,DZ5),2),Sheet3!$D$1:$E$7,2,0))</f>
        <v/>
      </c>
      <c r="EA6" s="8" t="str">
        <f>IF(EA$5="","",VLOOKUP(WEEKDAY(DATE($A$2,$A$3+$A$1-1,EA5),2),Sheet3!$D$1:$E$7,2,0))</f>
        <v/>
      </c>
      <c r="EB6" s="8" t="str">
        <f>IF(EB$5="","",VLOOKUP(WEEKDAY(DATE($A$2,$A$3+$A$1-1,EB5),2),Sheet3!$D$1:$E$7,2,0))</f>
        <v/>
      </c>
      <c r="EC6" s="8" t="str">
        <f>IF(EC$5="","",VLOOKUP(WEEKDAY(DATE($A$2,$A$3+$A$1-1,EC5),2),Sheet3!$D$1:$E$7,2,0))</f>
        <v/>
      </c>
      <c r="ED6" s="8" t="str">
        <f>IF(ED$5="","",VLOOKUP(WEEKDAY(DATE($A$2,$A$3+$A$1-1,ED5),2),Sheet3!$D$1:$E$7,2,0))</f>
        <v/>
      </c>
      <c r="EE6" s="8" t="str">
        <f>IF(EE$5="","",VLOOKUP(WEEKDAY(DATE($A$2,$A$3+$A$1-1,EE5),2),Sheet3!$D$1:$E$7,2,0))</f>
        <v/>
      </c>
      <c r="EF6" s="8" t="str">
        <f>IF(EF$5="","",VLOOKUP(WEEKDAY(DATE($A$2,$A$3+$A$1-1,EF5),2),Sheet3!$D$1:$E$7,2,0))</f>
        <v/>
      </c>
      <c r="EG6" s="8" t="str">
        <f>IF(EG$5="","",VLOOKUP(WEEKDAY(DATE($A$2,$A$3+$A$1-1,EG5),2),Sheet3!$D$1:$E$7,2,0))</f>
        <v/>
      </c>
      <c r="EH6" s="8" t="str">
        <f>IF(EH$5="","",VLOOKUP(WEEKDAY(DATE($A$2,$A$3+$A$1-1,EH5),2),Sheet3!$D$1:$E$7,2,0))</f>
        <v/>
      </c>
      <c r="EI6" s="8" t="str">
        <f>IF(EI$5="","",VLOOKUP(WEEKDAY(DATE($A$2,$A$3+$A$1-1,EI5),2),Sheet3!$D$1:$E$7,2,0))</f>
        <v/>
      </c>
      <c r="EJ6" s="8" t="str">
        <f>IF(EJ$5="","",VLOOKUP(WEEKDAY(DATE($A$2,$A$3+$A$1-1,EJ5),2),Sheet3!$D$1:$E$7,2,0))</f>
        <v/>
      </c>
      <c r="EK6" s="8" t="str">
        <f>IF(EK$5="","",VLOOKUP(WEEKDAY(DATE($A$2,$A$3+$A$1-1,EK5),2),Sheet3!$D$1:$E$7,2,0))</f>
        <v/>
      </c>
      <c r="EL6" s="8" t="str">
        <f>IF(EL$5="","",VLOOKUP(WEEKDAY(DATE($A$2,$A$3+$A$1-1,EL5),2),Sheet3!$D$1:$E$7,2,0))</f>
        <v/>
      </c>
      <c r="EM6" s="8" t="str">
        <f>IF(EM$5="","",VLOOKUP(WEEKDAY(DATE($A$2,$A$3+$A$1-1,EM5),2),Sheet3!$D$1:$E$7,2,0))</f>
        <v/>
      </c>
      <c r="EN6" s="8" t="str">
        <f>IF(EN$5="","",VLOOKUP(WEEKDAY(DATE($A$2,$A$3+$A$1-1,EN5),2),Sheet3!$D$1:$E$7,2,0))</f>
        <v/>
      </c>
      <c r="EO6" s="8" t="str">
        <f>IF(EO$5="","",VLOOKUP(WEEKDAY(DATE($A$2,$A$3+$A$1-1,EO5),2),Sheet3!$D$1:$E$7,2,0))</f>
        <v/>
      </c>
      <c r="EP6" s="8" t="str">
        <f>IF(EP$5="","",VLOOKUP(WEEKDAY(DATE($A$2,$A$3+$A$1-1,EP5),2),Sheet3!$D$1:$E$7,2,0))</f>
        <v/>
      </c>
      <c r="EQ6" s="8" t="str">
        <f>IF(EQ$5="","",VLOOKUP(WEEKDAY(DATE($A$2,$A$3+$A$1-1,EQ5),2),Sheet3!$D$1:$E$7,2,0))</f>
        <v/>
      </c>
      <c r="ER6" s="8" t="str">
        <f>IF(ER$5="","",VLOOKUP(WEEKDAY(DATE($A$2,$A$3+$A$1-1,ER5),2),Sheet3!$D$1:$E$7,2,0))</f>
        <v/>
      </c>
      <c r="ES6" s="8" t="str">
        <f>IF(ES$5="","",VLOOKUP(WEEKDAY(DATE($A$2,$A$3+$A$1-1,ES5),2),Sheet3!$D$1:$E$7,2,0))</f>
        <v/>
      </c>
      <c r="ET6" s="8" t="str">
        <f>IF(ET$5="","",VLOOKUP(WEEKDAY(DATE($A$2,$A$3+$A$1-1,ET5),2),Sheet3!$D$1:$E$7,2,0))</f>
        <v/>
      </c>
      <c r="EU6" s="8" t="str">
        <f>IF(EU$5="","",VLOOKUP(WEEKDAY(DATE($A$2,$A$3+$A$1-1,EU5),2),Sheet3!$D$1:$E$7,2,0))</f>
        <v/>
      </c>
      <c r="EV6" s="8" t="str">
        <f>IF(EV$5="","",VLOOKUP(WEEKDAY(DATE($A$2,$A$3+$A$1-1,EV5),2),Sheet3!$D$1:$E$7,2,0))</f>
        <v/>
      </c>
      <c r="EW6" s="8" t="str">
        <f>IF(EW$5="","",VLOOKUP(WEEKDAY(DATE($A$2,$A$3+$A$1-1,EW5),2),Sheet3!$D$1:$E$7,2,0))</f>
        <v/>
      </c>
      <c r="EX6" s="8" t="str">
        <f>IF(EX$5="","",VLOOKUP(WEEKDAY(DATE($A$2,$A$3+$A$1-1,EX5),2),Sheet3!$D$1:$E$7,2,0))</f>
        <v/>
      </c>
      <c r="EY6" s="8" t="str">
        <f>IF(EY$5="","",VLOOKUP(WEEKDAY(DATE($A$2,$A$3+$A$1-1,EY5),2),Sheet3!$D$1:$E$7,2,0))</f>
        <v/>
      </c>
      <c r="EZ6" s="8" t="str">
        <f>IF(EZ$5="","",VLOOKUP(WEEKDAY(DATE($A$2,$A$3+$A$1-1,EZ5),2),Sheet3!$D$1:$E$7,2,0))</f>
        <v/>
      </c>
      <c r="FA6" s="8" t="str">
        <f>IF(FA$5="","",VLOOKUP(WEEKDAY(DATE($A$2,$A$3+$A$1-1,FA5),2),Sheet3!$D$1:$E$7,2,0))</f>
        <v/>
      </c>
      <c r="FB6" s="8" t="str">
        <f>IF(FB$5="","",VLOOKUP(WEEKDAY(DATE($A$2,$A$3+$A$1-1,FB5),2),Sheet3!$D$1:$E$7,2,0))</f>
        <v/>
      </c>
      <c r="FC6" s="8" t="str">
        <f>IF(FC$5="","",VLOOKUP(WEEKDAY(DATE($A$2,$A$3+$A$1-1,FC5),2),Sheet3!$D$1:$E$7,2,0))</f>
        <v/>
      </c>
      <c r="FD6" s="8" t="str">
        <f>IF(FD$5="","",VLOOKUP(WEEKDAY(DATE($A$2,$A$3+$A$1-1,FD5),2),Sheet3!$D$1:$E$7,2,0))</f>
        <v/>
      </c>
      <c r="FE6" s="8" t="str">
        <f>IF(FE$5="","",VLOOKUP(WEEKDAY(DATE($A$2,$A$3+$A$1-1,FE5),2),Sheet3!$D$1:$E$7,2,0))</f>
        <v/>
      </c>
      <c r="FF6" s="8" t="str">
        <f>IF(FF$5="","",VLOOKUP(WEEKDAY(DATE($A$2,$A$3+$A$1-1,FF5),2),Sheet3!$D$1:$E$7,2,0))</f>
        <v/>
      </c>
      <c r="FG6" s="8" t="str">
        <f>IF(FG$5="","",VLOOKUP(WEEKDAY(DATE($A$2,$A$3+$A$1-1,FG5),2),Sheet3!$D$1:$E$7,2,0))</f>
        <v/>
      </c>
      <c r="FH6" s="8" t="str">
        <f>IF(FH$5="","",VLOOKUP(WEEKDAY(DATE($A$2,$A$3+$A$1-1,FH5),2),Sheet3!$D$1:$E$7,2,0))</f>
        <v/>
      </c>
      <c r="FI6" s="8" t="str">
        <f>IF(FI$5="","",VLOOKUP(WEEKDAY(DATE($A$2,$A$3+$A$1-1,FI5),2),Sheet3!$D$1:$E$7,2,0))</f>
        <v/>
      </c>
      <c r="FJ6" s="8" t="str">
        <f>IF(FJ$5="","",VLOOKUP(WEEKDAY(DATE($A$2,$A$3+$A$1-1,FJ5),2),Sheet3!$D$1:$E$7,2,0))</f>
        <v/>
      </c>
      <c r="FK6" s="8" t="str">
        <f>IF(FK$5="","",VLOOKUP(WEEKDAY(DATE($A$2,$A$3+$A$1-1,FK5),2),Sheet3!$D$1:$E$7,2,0))</f>
        <v/>
      </c>
      <c r="FL6" s="8" t="str">
        <f>IF(FL$5="","",VLOOKUP(WEEKDAY(DATE($A$2,$A$3+$A$1-1,FL5),2),Sheet3!$D$1:$E$7,2,0))</f>
        <v/>
      </c>
      <c r="FM6" s="8" t="str">
        <f>IF(FM$5="","",VLOOKUP(WEEKDAY(DATE($A$2,$A$3+$A$1-1,FM5),2),Sheet3!$D$1:$E$7,2,0))</f>
        <v/>
      </c>
      <c r="FN6" s="8" t="str">
        <f>IF(FN$5="","",VLOOKUP(WEEKDAY(DATE($A$2,$A$3+$A$1-1,FN5),2),Sheet3!$D$1:$E$7,2,0))</f>
        <v/>
      </c>
      <c r="FO6" s="8" t="str">
        <f>IF(FO$5="","",VLOOKUP(WEEKDAY(DATE($A$2,$A$3+$A$1-1,FO5),2),Sheet3!$D$1:$E$7,2,0))</f>
        <v/>
      </c>
      <c r="FP6" s="8" t="str">
        <f>IF(FP$5="","",VLOOKUP(WEEKDAY(DATE($A$2,$A$3+$A$1-1,FP5),2),Sheet3!$D$1:$E$7,2,0))</f>
        <v/>
      </c>
      <c r="FQ6" s="8" t="str">
        <f>IF(FQ$5="","",VLOOKUP(WEEKDAY(DATE($A$2,$A$3+$A$1-1,FQ5),2),Sheet3!$D$1:$E$7,2,0))</f>
        <v/>
      </c>
      <c r="FR6" s="8" t="str">
        <f>IF(FR$5="","",VLOOKUP(WEEKDAY(DATE($A$2,$A$3+$A$1-1,FR5),2),Sheet3!$D$1:$E$7,2,0))</f>
        <v/>
      </c>
      <c r="FS6" s="8" t="str">
        <f>IF(FS$5="","",VLOOKUP(WEEKDAY(DATE($A$2,$A$3+$A$1-1,FS5),2),Sheet3!$D$1:$E$7,2,0))</f>
        <v/>
      </c>
      <c r="FT6" s="8" t="str">
        <f>IF(FT$5="","",VLOOKUP(WEEKDAY(DATE($A$2,$A$3+$A$1-1,FT5),2),Sheet3!$D$1:$E$7,2,0))</f>
        <v/>
      </c>
      <c r="FU6" s="8" t="str">
        <f>IF(FU$5="","",VLOOKUP(WEEKDAY(DATE($A$2,$A$3+$A$1-1,FU5),2),Sheet3!$D$1:$E$7,2,0))</f>
        <v/>
      </c>
      <c r="FV6" s="8" t="str">
        <f>IF(FV$5="","",VLOOKUP(WEEKDAY(DATE($A$2,$A$3+$A$1-1,FV5),2),Sheet3!$D$1:$E$7,2,0))</f>
        <v/>
      </c>
      <c r="FW6" s="8" t="str">
        <f>IF(FW$5="","",VLOOKUP(WEEKDAY(DATE($A$2,$A$3+$A$1-1,FW5),2),Sheet3!$D$1:$E$7,2,0))</f>
        <v/>
      </c>
      <c r="FX6" s="8" t="str">
        <f>IF(FX$5="","",VLOOKUP(WEEKDAY(DATE($A$2,$A$3+$A$1-1,FX5),2),Sheet3!$D$1:$E$7,2,0))</f>
        <v/>
      </c>
      <c r="FY6" s="8" t="str">
        <f>IF(FY$5="","",VLOOKUP(WEEKDAY(DATE($A$2,$A$3+$A$1-1,FY5),2),Sheet3!$D$1:$E$7,2,0))</f>
        <v/>
      </c>
      <c r="FZ6" s="8" t="str">
        <f>IF(FZ$5="","",VLOOKUP(WEEKDAY(DATE($A$2,$A$3+$A$1-1,FZ5),2),Sheet3!$D$1:$E$7,2,0))</f>
        <v/>
      </c>
      <c r="GA6" s="8" t="str">
        <f>IF(GA$5="","",VLOOKUP(WEEKDAY(DATE($A$2,$A$3+$A$1-1,GA5),2),Sheet3!$D$1:$E$7,2,0))</f>
        <v/>
      </c>
      <c r="GB6" s="8" t="str">
        <f>IF(GB$5="","",VLOOKUP(WEEKDAY(DATE($A$2,$A$3+$A$1-1,GB5),2),Sheet3!$D$1:$E$7,2,0))</f>
        <v/>
      </c>
      <c r="GC6" s="8" t="str">
        <f>IF(GC$5="","",VLOOKUP(WEEKDAY(DATE($A$2,$A$3+$A$1-1,GC5),2),Sheet3!$D$1:$E$7,2,0))</f>
        <v/>
      </c>
      <c r="GD6" s="8" t="str">
        <f>IF(GD$5="","",VLOOKUP(WEEKDAY(DATE($A$2,$A$3+$A$1-1,GD5),2),Sheet3!$D$1:$E$7,2,0))</f>
        <v/>
      </c>
      <c r="GE6" s="8" t="str">
        <f>IF(GE$5="","",VLOOKUP(WEEKDAY(DATE($A$2,$A$3+$A$1-1,GE5),2),Sheet3!$D$1:$E$7,2,0))</f>
        <v/>
      </c>
      <c r="GF6" s="8" t="str">
        <f>IF(GF$5="","",VLOOKUP(WEEKDAY(DATE($A$2,$A$3+$A$1-1,GF5),2),Sheet3!$D$1:$E$7,2,0))</f>
        <v/>
      </c>
      <c r="GG6" s="8" t="str">
        <f>IF(GG$5="","",VLOOKUP(WEEKDAY(DATE($A$2,$A$3+$A$1-1,GG5),2),Sheet3!$D$1:$E$7,2,0))</f>
        <v/>
      </c>
      <c r="GH6" s="8" t="str">
        <f>IF(GH$5="","",VLOOKUP(WEEKDAY(DATE($A$2,$A$3+$A$1-1,GH5),2),Sheet3!$D$1:$E$7,2,0))</f>
        <v/>
      </c>
      <c r="GI6" s="8" t="str">
        <f>IF(GI$5="","",VLOOKUP(WEEKDAY(DATE($A$2,$A$3+$A$1-1,GI5),2),Sheet3!$D$1:$E$7,2,0))</f>
        <v/>
      </c>
      <c r="GJ6" s="8" t="str">
        <f>IF(GJ$5="","",VLOOKUP(WEEKDAY(DATE($A$2,$A$3+$A$1-1,GJ5),2),Sheet3!$D$1:$E$7,2,0))</f>
        <v/>
      </c>
      <c r="GK6" s="8" t="str">
        <f>IF(GK$5="","",VLOOKUP(WEEKDAY(DATE($A$2,$A$3+$A$1-1,GK5),2),Sheet3!$D$1:$E$7,2,0))</f>
        <v/>
      </c>
      <c r="GL6" s="8" t="str">
        <f>IF(GL$5="","",VLOOKUP(WEEKDAY(DATE($A$2,$A$3+$A$1-1,GL5),2),Sheet3!$D$1:$E$7,2,0))</f>
        <v/>
      </c>
      <c r="GM6" s="8" t="str">
        <f>IF(GM$5="","",VLOOKUP(WEEKDAY(DATE($A$2,$A$3+$A$1-1,GM5),2),Sheet3!$D$1:$E$7,2,0))</f>
        <v/>
      </c>
      <c r="GN6" s="8" t="str">
        <f>IF(GN$5="","",VLOOKUP(WEEKDAY(DATE($A$2,$A$3+$A$1-1,GN5),2),Sheet3!$D$1:$E$7,2,0))</f>
        <v/>
      </c>
      <c r="GO6" s="8" t="str">
        <f>IF(GO$5="","",VLOOKUP(WEEKDAY(DATE($A$2,$A$3+$A$1-1,GO5),2),Sheet3!$D$1:$E$7,2,0))</f>
        <v/>
      </c>
      <c r="GP6" s="8" t="str">
        <f>IF(GP$5="","",VLOOKUP(WEEKDAY(DATE($A$2,$A$3+$A$1-1,GP5),2),Sheet3!$D$1:$E$7,2,0))</f>
        <v/>
      </c>
      <c r="GQ6" s="8" t="str">
        <f>IF(GQ$5="","",VLOOKUP(WEEKDAY(DATE($A$2,$A$3+$A$1-1,GQ5),2),Sheet3!$D$1:$E$7,2,0))</f>
        <v/>
      </c>
      <c r="GR6" s="8" t="str">
        <f>IF(GR$5="","",VLOOKUP(WEEKDAY(DATE($A$2,$A$3+$A$1-1,GR5),2),Sheet3!$D$1:$E$7,2,0))</f>
        <v/>
      </c>
      <c r="GS6" s="8" t="str">
        <f>IF(GS$5="","",VLOOKUP(WEEKDAY(DATE($A$2,$A$3+$A$1-1,GS5),2),Sheet3!$D$1:$E$7,2,0))</f>
        <v/>
      </c>
      <c r="GT6" s="8" t="str">
        <f>IF(GT$5="","",VLOOKUP(WEEKDAY(DATE($A$2,$A$3+$A$1-1,GT5),2),Sheet3!$D$1:$E$7,2,0))</f>
        <v/>
      </c>
      <c r="GU6" s="8" t="str">
        <f>IF(GU$5="","",VLOOKUP(WEEKDAY(DATE($A$2,$A$3+$A$1-1,GU5),2),Sheet3!$D$1:$E$7,2,0))</f>
        <v/>
      </c>
      <c r="GV6" s="8" t="str">
        <f>IF(GV$5="","",VLOOKUP(WEEKDAY(DATE($A$2,$A$3+$A$1-1,GV5),2),Sheet3!$D$1:$E$7,2,0))</f>
        <v/>
      </c>
      <c r="GW6" s="8" t="str">
        <f>IF(GW$5="","",VLOOKUP(WEEKDAY(DATE($A$2,$A$3+$A$1-1,GW5),2),Sheet3!$D$1:$E$7,2,0))</f>
        <v/>
      </c>
      <c r="GX6" s="8" t="str">
        <f>IF(GX$5="","",VLOOKUP(WEEKDAY(DATE($A$2,$A$3+$A$1-1,GX5),2),Sheet3!$D$1:$E$7,2,0))</f>
        <v/>
      </c>
      <c r="GY6" s="8" t="str">
        <f>IF(GY$5="","",VLOOKUP(WEEKDAY(DATE($A$2,$A$3+$A$1-1,GY5),2),Sheet3!$D$1:$E$7,2,0))</f>
        <v/>
      </c>
      <c r="GZ6" s="8" t="str">
        <f>IF(GZ$5="","",VLOOKUP(WEEKDAY(DATE($A$2,$A$3+$A$1-1,GZ5),2),Sheet3!$D$1:$E$7,2,0))</f>
        <v/>
      </c>
      <c r="HA6" s="8" t="str">
        <f>IF(HA$5="","",VLOOKUP(WEEKDAY(DATE($A$2,$A$3+$A$1-1,HA5),2),Sheet3!$D$1:$E$7,2,0))</f>
        <v/>
      </c>
      <c r="HB6" s="8" t="str">
        <f>IF(HB$5="","",VLOOKUP(WEEKDAY(DATE($A$2,$A$3+$A$1-1,HB5),2),Sheet3!$D$1:$E$7,2,0))</f>
        <v/>
      </c>
      <c r="HC6" s="8" t="str">
        <f>IF(HC$5="","",VLOOKUP(WEEKDAY(DATE($A$2,$A$3+$A$1-1,HC5),2),Sheet3!$D$1:$E$7,2,0))</f>
        <v/>
      </c>
      <c r="HD6" s="8" t="str">
        <f>IF(HD$5="","",VLOOKUP(WEEKDAY(DATE($A$2,$A$3+$A$1-1,HD5),2),Sheet3!$D$1:$E$7,2,0))</f>
        <v/>
      </c>
      <c r="HE6" s="8" t="str">
        <f>IF(HE$5="","",VLOOKUP(WEEKDAY(DATE($A$2,$A$3+$A$1-1,HE5),2),Sheet3!$D$1:$E$7,2,0))</f>
        <v/>
      </c>
      <c r="HF6" s="8" t="str">
        <f>IF(HF$5="","",VLOOKUP(WEEKDAY(DATE($A$2,$A$3+$A$1-1,HF5),2),Sheet3!$D$1:$E$7,2,0))</f>
        <v/>
      </c>
      <c r="HG6" s="8" t="str">
        <f>IF(HG$5="","",VLOOKUP(WEEKDAY(DATE($A$2,$A$3+$A$1-1,HG5),2),Sheet3!$D$1:$E$7,2,0))</f>
        <v/>
      </c>
      <c r="HH6" s="8" t="str">
        <f>IF(HH$5="","",VLOOKUP(WEEKDAY(DATE($A$2,$A$3+$A$1-1,HH5),2),Sheet3!$D$1:$E$7,2,0))</f>
        <v/>
      </c>
      <c r="HI6" s="8" t="str">
        <f>IF(HI$5="","",VLOOKUP(WEEKDAY(DATE($A$2,$A$3+$A$1-1,HI5),2),Sheet3!$D$1:$E$7,2,0))</f>
        <v/>
      </c>
      <c r="HJ6" s="8" t="str">
        <f>IF(HJ$5="","",VLOOKUP(WEEKDAY(DATE($A$2,$A$3+$A$1-1,HJ5),2),Sheet3!$D$1:$E$7,2,0))</f>
        <v/>
      </c>
      <c r="HK6" s="8" t="str">
        <f>IF(HK$5="","",VLOOKUP(WEEKDAY(DATE($A$2,$A$3+$A$1-1,HK5),2),Sheet3!$D$1:$E$7,2,0))</f>
        <v/>
      </c>
      <c r="HL6" s="8" t="str">
        <f>IF(HL$5="","",VLOOKUP(WEEKDAY(DATE($A$2,$A$3+$A$1-1,HL5),2),Sheet3!$D$1:$E$7,2,0))</f>
        <v/>
      </c>
      <c r="HM6" s="8" t="str">
        <f>IF(HM$5="","",VLOOKUP(WEEKDAY(DATE($A$2,$A$3+$A$1-1,HM5),2),Sheet3!$D$1:$E$7,2,0))</f>
        <v/>
      </c>
      <c r="HN6" s="8" t="str">
        <f>IF(HN$5="","",VLOOKUP(WEEKDAY(DATE($A$2,$A$3+$A$1-1,HN5),2),Sheet3!$D$1:$E$7,2,0))</f>
        <v/>
      </c>
      <c r="HO6" s="8" t="str">
        <f>IF(HO$5="","",VLOOKUP(WEEKDAY(DATE($A$2,$A$3+$A$1-1,HO5),2),Sheet3!$D$1:$E$7,2,0))</f>
        <v/>
      </c>
      <c r="HP6" s="8" t="str">
        <f>IF(HP$5="","",VLOOKUP(WEEKDAY(DATE($A$2,$A$3+$A$1-1,HP5),2),Sheet3!$D$1:$E$7,2,0))</f>
        <v/>
      </c>
      <c r="HQ6" s="8" t="str">
        <f>IF(HQ$5="","",VLOOKUP(WEEKDAY(DATE($A$2,$A$3+$A$1-1,HQ5),2),Sheet3!$D$1:$E$7,2,0))</f>
        <v/>
      </c>
      <c r="HR6" s="8" t="str">
        <f>IF(HR$5="","",VLOOKUP(WEEKDAY(DATE($A$2,$A$3+$A$1-1,HR5),2),Sheet3!$D$1:$E$7,2,0))</f>
        <v/>
      </c>
      <c r="HS6" s="8" t="str">
        <f>IF(HS$5="","",VLOOKUP(WEEKDAY(DATE($A$2,$A$3+$A$1-1,HS5),2),Sheet3!$D$1:$E$7,2,0))</f>
        <v/>
      </c>
      <c r="HT6" s="8" t="str">
        <f>IF(HT$5="","",VLOOKUP(WEEKDAY(DATE($A$2,$A$3+$A$1-1,HT5),2),Sheet3!$D$1:$E$7,2,0))</f>
        <v/>
      </c>
      <c r="HU6" s="8" t="str">
        <f>IF(HU$5="","",VLOOKUP(WEEKDAY(DATE($A$2,$A$3+$A$1-1,HU5),2),Sheet3!$D$1:$E$7,2,0))</f>
        <v/>
      </c>
      <c r="HV6" s="8" t="str">
        <f>IF(HV$5="","",VLOOKUP(WEEKDAY(DATE($A$2,$A$3+$A$1-1,HV5),2),Sheet3!$D$1:$E$7,2,0))</f>
        <v/>
      </c>
      <c r="HW6" s="8" t="str">
        <f>IF(HW$5="","",VLOOKUP(WEEKDAY(DATE($A$2,$A$3+$A$1-1,HW5),2),Sheet3!$D$1:$E$7,2,0))</f>
        <v/>
      </c>
      <c r="HX6" s="8" t="str">
        <f>IF(HX$5="","",VLOOKUP(WEEKDAY(DATE($A$2,$A$3+$A$1-1,HX5),2),Sheet3!$D$1:$E$7,2,0))</f>
        <v/>
      </c>
      <c r="HY6" s="8" t="str">
        <f>IF(HY$5="","",VLOOKUP(WEEKDAY(DATE($A$2,$A$3+$A$1-1,HY5),2),Sheet3!$D$1:$E$7,2,0))</f>
        <v/>
      </c>
      <c r="HZ6" s="8" t="str">
        <f>IF(HZ$5="","",VLOOKUP(WEEKDAY(DATE($A$2,$A$3+$A$1-1,HZ5),2),Sheet3!$D$1:$E$7,2,0))</f>
        <v/>
      </c>
      <c r="IA6" s="8" t="str">
        <f>IF(IA$5="","",VLOOKUP(WEEKDAY(DATE($A$2,$A$3+$A$1-1,IA5),2),Sheet3!$D$1:$E$7,2,0))</f>
        <v/>
      </c>
      <c r="IB6" s="8" t="str">
        <f>IF(IB$5="","",VLOOKUP(WEEKDAY(DATE($A$2,$A$3+$A$1-1,IB5),2),Sheet3!$D$1:$E$7,2,0))</f>
        <v/>
      </c>
      <c r="IC6" s="8" t="str">
        <f>IF(IC$5="","",VLOOKUP(WEEKDAY(DATE($A$2,$A$3+$A$1-1,IC5),2),Sheet3!$D$1:$E$7,2,0))</f>
        <v/>
      </c>
      <c r="ID6" s="8" t="str">
        <f>IF(ID$5="","",VLOOKUP(WEEKDAY(DATE($A$2,$A$3+$A$1-1,ID5),2),Sheet3!$D$1:$E$7,2,0))</f>
        <v/>
      </c>
      <c r="IE6" s="8" t="str">
        <f>IF(IE$5="","",VLOOKUP(WEEKDAY(DATE($A$2,$A$3+$A$1-1,IE5),2),Sheet3!$D$1:$E$7,2,0))</f>
        <v/>
      </c>
      <c r="IF6" s="8" t="str">
        <f>IF(IF$5="","",VLOOKUP(WEEKDAY(DATE($A$2,$A$3+$A$1-1,IF5),2),Sheet3!$D$1:$E$7,2,0))</f>
        <v/>
      </c>
      <c r="IG6" s="8" t="str">
        <f>IF(IG$5="","",VLOOKUP(WEEKDAY(DATE($A$2,$A$3+$A$1-1,IG5),2),Sheet3!$D$1:$E$7,2,0))</f>
        <v/>
      </c>
      <c r="IH6" s="8" t="str">
        <f>IF(IH$5="","",VLOOKUP(WEEKDAY(DATE($A$2,$A$3+$A$1-1,IH5),2),Sheet3!$D$1:$E$7,2,0))</f>
        <v/>
      </c>
      <c r="II6" s="8" t="str">
        <f>IF(II$5="","",VLOOKUP(WEEKDAY(DATE($A$2,$A$3+$A$1-1,II5),2),Sheet3!$D$1:$E$7,2,0))</f>
        <v/>
      </c>
      <c r="IJ6" s="8" t="str">
        <f>IF(IJ$5="","",VLOOKUP(WEEKDAY(DATE($A$2,$A$3+$A$1-1,IJ5),2),Sheet3!$D$1:$E$7,2,0))</f>
        <v/>
      </c>
      <c r="IK6" s="8" t="str">
        <f>IF(IK$5="","",VLOOKUP(WEEKDAY(DATE($A$2,$A$3+$A$1-1,IK5),2),Sheet3!$D$1:$E$7,2,0))</f>
        <v/>
      </c>
      <c r="IL6" s="8" t="str">
        <f>IF(IL$5="","",VLOOKUP(WEEKDAY(DATE($A$2,$A$3+$A$1-1,IL5),2),Sheet3!$D$1:$E$7,2,0))</f>
        <v/>
      </c>
      <c r="IM6" s="8" t="str">
        <f>IF(IM$5="","",VLOOKUP(WEEKDAY(DATE($A$2,$A$3+$A$1-1,IM5),2),Sheet3!$D$1:$E$7,2,0))</f>
        <v/>
      </c>
      <c r="IN6" s="8" t="str">
        <f>IF(IN$5="","",VLOOKUP(WEEKDAY(DATE($A$2,$A$3+$A$1-1,IN5),2),Sheet3!$D$1:$E$7,2,0))</f>
        <v/>
      </c>
      <c r="IO6" s="8" t="str">
        <f>IF(IO$5="","",VLOOKUP(WEEKDAY(DATE($A$2,$A$3+$A$1-1,IO5),2),Sheet3!$D$1:$E$7,2,0))</f>
        <v/>
      </c>
      <c r="IP6" s="8" t="str">
        <f>IF(IP$5="","",VLOOKUP(WEEKDAY(DATE($A$2,$A$3+$A$1-1,IP5),2),Sheet3!$D$1:$E$7,2,0))</f>
        <v/>
      </c>
      <c r="IQ6" s="8" t="str">
        <f>IF(IQ$5="","",VLOOKUP(WEEKDAY(DATE($A$2,$A$3+$A$1-1,IQ5),2),Sheet3!$D$1:$E$7,2,0))</f>
        <v/>
      </c>
      <c r="IR6" s="8" t="str">
        <f>IF(IR$5="","",VLOOKUP(WEEKDAY(DATE($A$2,$A$3+$A$1-1,IR5),2),Sheet3!$D$1:$E$7,2,0))</f>
        <v/>
      </c>
      <c r="IS6" s="8" t="str">
        <f>IF(IS$5="","",VLOOKUP(WEEKDAY(DATE($A$2,$A$3+$A$1-1,IS5),2),Sheet3!$D$1:$E$7,2,0))</f>
        <v/>
      </c>
      <c r="IT6" s="8" t="str">
        <f>IF(IT$5="","",VLOOKUP(WEEKDAY(DATE($A$2,$A$3+$A$1-1,IT5),2),Sheet3!$D$1:$E$7,2,0))</f>
        <v/>
      </c>
      <c r="IU6" s="8" t="str">
        <f>IF(IU$5="","",VLOOKUP(WEEKDAY(DATE($A$2,$A$3+$A$1-1,IU5),2),Sheet3!$D$1:$E$7,2,0))</f>
        <v/>
      </c>
      <c r="IV6" s="8" t="str">
        <f>IF(IV$5="","",VLOOKUP(WEEKDAY(DATE($A$2,$A$3+$A$1-1,IV5),2),Sheet3!$D$1:$E$7,2,0))</f>
        <v/>
      </c>
      <c r="IW6" s="8" t="str">
        <f>IF(IW$5="","",VLOOKUP(WEEKDAY(DATE($A$2,$A$3+$A$1-1,IW5),2),Sheet3!$D$1:$E$7,2,0))</f>
        <v/>
      </c>
      <c r="IX6" s="8" t="str">
        <f>IF(IX$5="","",VLOOKUP(WEEKDAY(DATE($A$2,$A$3+$A$1-1,IX5),2),Sheet3!$D$1:$E$7,2,0))</f>
        <v/>
      </c>
      <c r="IY6" s="8" t="str">
        <f>IF(IY$5="","",VLOOKUP(WEEKDAY(DATE($A$2,$A$3+$A$1-1,IY5),2),Sheet3!$D$1:$E$7,2,0))</f>
        <v/>
      </c>
      <c r="IZ6" s="8" t="str">
        <f>IF(IZ$5="","",VLOOKUP(WEEKDAY(DATE($A$2,$A$3+$A$1-1,IZ5),2),Sheet3!$D$1:$E$7,2,0))</f>
        <v/>
      </c>
      <c r="JA6" s="8" t="str">
        <f>IF(JA$5="","",VLOOKUP(WEEKDAY(DATE($A$2,$A$3+$A$1-1,JA5),2),Sheet3!$D$1:$E$7,2,0))</f>
        <v/>
      </c>
      <c r="JB6" s="8" t="str">
        <f>IF(JB$5="","",VLOOKUP(WEEKDAY(DATE($A$2,$A$3+$A$1-1,JB5),2),Sheet3!$D$1:$E$7,2,0))</f>
        <v/>
      </c>
      <c r="JC6" s="8" t="str">
        <f>IF(JC$5="","",VLOOKUP(WEEKDAY(DATE($A$2,$A$3+$A$1-1,JC5),2),Sheet3!$D$1:$E$7,2,0))</f>
        <v/>
      </c>
      <c r="JD6" s="8" t="str">
        <f>IF(JD$5="","",VLOOKUP(WEEKDAY(DATE($A$2,$A$3+$A$1-1,JD5),2),Sheet3!$D$1:$E$7,2,0))</f>
        <v/>
      </c>
      <c r="JE6" s="8" t="str">
        <f>IF(JE$5="","",VLOOKUP(WEEKDAY(DATE($A$2,$A$3+$A$1-1,JE5),2),Sheet3!$D$1:$E$7,2,0))</f>
        <v/>
      </c>
      <c r="JF6" s="8" t="str">
        <f>IF(JF$5="","",VLOOKUP(WEEKDAY(DATE($A$2,$A$3+$A$1-1,JF5),2),Sheet3!$D$1:$E$7,2,0))</f>
        <v/>
      </c>
      <c r="JG6" s="8" t="str">
        <f>IF(JG$5="","",VLOOKUP(WEEKDAY(DATE($A$2,$A$3+$A$1-1,JG5),2),Sheet3!$D$1:$E$7,2,0))</f>
        <v/>
      </c>
      <c r="JH6" s="8" t="str">
        <f>IF(JH$5="","",VLOOKUP(WEEKDAY(DATE($A$2,$A$3+$A$1-1,JH5),2),Sheet3!$D$1:$E$7,2,0))</f>
        <v/>
      </c>
      <c r="JI6" s="8" t="str">
        <f>IF(JI$5="","",VLOOKUP(WEEKDAY(DATE($A$2,$A$3+$A$1-1,JI5),2),Sheet3!$D$1:$E$7,2,0))</f>
        <v/>
      </c>
      <c r="JJ6" s="8" t="str">
        <f>IF(JJ$5="","",VLOOKUP(WEEKDAY(DATE($A$2,$A$3+$A$1-1,JJ5),2),Sheet3!$D$1:$E$7,2,0))</f>
        <v/>
      </c>
      <c r="JK6" s="8" t="str">
        <f>IF(JK$5="","",VLOOKUP(WEEKDAY(DATE($A$2,$A$3+$A$1-1,JK5),2),Sheet3!$D$1:$E$7,2,0))</f>
        <v/>
      </c>
      <c r="JL6" s="8" t="str">
        <f>IF(JL$5="","",VLOOKUP(WEEKDAY(DATE($A$2,$A$3+$A$1-1,JL5),2),Sheet3!$D$1:$E$7,2,0))</f>
        <v/>
      </c>
      <c r="JM6" s="8" t="str">
        <f>IF(JM$5="","",VLOOKUP(WEEKDAY(DATE($A$2,$A$3+$A$1-1,JM5),2),Sheet3!$D$1:$E$7,2,0))</f>
        <v/>
      </c>
      <c r="JN6" s="8" t="str">
        <f>IF(JN$5="","",VLOOKUP(WEEKDAY(DATE($A$2,$A$3+$A$1-1,JN5),2),Sheet3!$D$1:$E$7,2,0))</f>
        <v/>
      </c>
      <c r="JO6" s="8" t="str">
        <f>IF(JO$5="","",VLOOKUP(WEEKDAY(DATE($A$2,$A$3+$A$1-1,JO5),2),Sheet3!$D$1:$E$7,2,0))</f>
        <v/>
      </c>
      <c r="JP6" s="8" t="str">
        <f>IF(JP$5="","",VLOOKUP(WEEKDAY(DATE($A$2,$A$3+$A$1-1,JP5),2),Sheet3!$D$1:$E$7,2,0))</f>
        <v/>
      </c>
      <c r="JQ6" s="8" t="str">
        <f>IF(JQ$5="","",VLOOKUP(WEEKDAY(DATE($A$2,$A$3+$A$1-1,JQ5),2),Sheet3!$D$1:$E$7,2,0))</f>
        <v/>
      </c>
      <c r="JR6" s="8" t="str">
        <f>IF(JR$5="","",VLOOKUP(WEEKDAY(DATE($A$2,$A$3+$A$1-1,JR5),2),Sheet3!$D$1:$E$7,2,0))</f>
        <v/>
      </c>
      <c r="JS6" s="8" t="str">
        <f>IF(JS$5="","",VLOOKUP(WEEKDAY(DATE($A$2,$A$3+$A$1-1,JS5),2),Sheet3!$D$1:$E$7,2,0))</f>
        <v/>
      </c>
      <c r="JT6" s="8" t="str">
        <f>IF(JT$5="","",VLOOKUP(WEEKDAY(DATE($A$2,$A$3+$A$1-1,JT5),2),Sheet3!$D$1:$E$7,2,0))</f>
        <v/>
      </c>
      <c r="JU6" s="8" t="str">
        <f>IF(JU$5="","",VLOOKUP(WEEKDAY(DATE($A$2,$A$3+$A$1-1,JU5),2),Sheet3!$D$1:$E$7,2,0))</f>
        <v/>
      </c>
      <c r="JV6" s="8" t="str">
        <f>IF(JV$5="","",VLOOKUP(WEEKDAY(DATE($A$2,$A$3+$A$1-1,JV5),2),Sheet3!$D$1:$E$7,2,0))</f>
        <v/>
      </c>
      <c r="JW6" s="8" t="str">
        <f>IF(JW$5="","",VLOOKUP(WEEKDAY(DATE($A$2,$A$3+$A$1-1,JW5),2),Sheet3!$D$1:$E$7,2,0))</f>
        <v/>
      </c>
      <c r="JX6" s="8" t="str">
        <f>IF(JX$5="","",VLOOKUP(WEEKDAY(DATE($A$2,$A$3+$A$1-1,JX5),2),Sheet3!$D$1:$E$7,2,0))</f>
        <v/>
      </c>
      <c r="JY6" s="8" t="str">
        <f>IF(JY$5="","",VLOOKUP(WEEKDAY(DATE($A$2,$A$3+$A$1-1,JY5),2),Sheet3!$D$1:$E$7,2,0))</f>
        <v/>
      </c>
      <c r="JZ6" s="8" t="str">
        <f>IF(JZ$5="","",VLOOKUP(WEEKDAY(DATE($A$2,$A$3+$A$1-1,JZ5),2),Sheet3!$D$1:$E$7,2,0))</f>
        <v/>
      </c>
      <c r="KA6" s="8" t="str">
        <f>IF(KA$5="","",VLOOKUP(WEEKDAY(DATE($A$2,$A$3+$A$1-1,KA5),2),Sheet3!$D$1:$E$7,2,0))</f>
        <v/>
      </c>
      <c r="KB6" s="8" t="str">
        <f>IF(KB$5="","",VLOOKUP(WEEKDAY(DATE($A$2,$A$3+$A$1-1,KB5),2),Sheet3!$D$1:$E$7,2,0))</f>
        <v/>
      </c>
      <c r="KC6" s="8" t="str">
        <f>IF(KC$5="","",VLOOKUP(WEEKDAY(DATE($A$2,$A$3+$A$1-1,KC5),2),Sheet3!$D$1:$E$7,2,0))</f>
        <v/>
      </c>
      <c r="KD6" s="8" t="str">
        <f>IF(KD$5="","",VLOOKUP(WEEKDAY(DATE($A$2,$A$3+$A$1-1,KD5),2),Sheet3!$D$1:$E$7,2,0))</f>
        <v/>
      </c>
      <c r="KE6" s="8" t="str">
        <f>IF(KE$5="","",VLOOKUP(WEEKDAY(DATE($A$2,$A$3+$A$1-1,KE5),2),Sheet3!$D$1:$E$7,2,0))</f>
        <v/>
      </c>
      <c r="KF6" s="8" t="str">
        <f>IF(KF$5="","",VLOOKUP(WEEKDAY(DATE($A$2,$A$3+$A$1-1,KF5),2),Sheet3!$D$1:$E$7,2,0))</f>
        <v/>
      </c>
      <c r="KG6" s="8" t="str">
        <f>IF(KG$5="","",VLOOKUP(WEEKDAY(DATE($A$2,$A$3+$A$1-1,KG5),2),Sheet3!$D$1:$E$7,2,0))</f>
        <v/>
      </c>
      <c r="KH6" s="8" t="str">
        <f>IF(KH$5="","",VLOOKUP(WEEKDAY(DATE($A$2,$A$3+$A$1-1,KH5),2),Sheet3!$D$1:$E$7,2,0))</f>
        <v/>
      </c>
      <c r="KI6" s="8" t="str">
        <f>IF(KI$5="","",VLOOKUP(WEEKDAY(DATE($A$2,$A$3+$A$1-1,KI5),2),Sheet3!$D$1:$E$7,2,0))</f>
        <v/>
      </c>
      <c r="KJ6" s="8" t="str">
        <f>IF(KJ$5="","",VLOOKUP(WEEKDAY(DATE($A$2,$A$3+$A$1-1,KJ5),2),Sheet3!$D$1:$E$7,2,0))</f>
        <v/>
      </c>
      <c r="KK6" s="8" t="str">
        <f>IF(KK$5="","",VLOOKUP(WEEKDAY(DATE($A$2,$A$3+$A$1-1,KK5),2),Sheet3!$D$1:$E$7,2,0))</f>
        <v/>
      </c>
      <c r="KL6" s="8" t="str">
        <f>IF(KL$5="","",VLOOKUP(WEEKDAY(DATE($A$2,$A$3+$A$1-1,KL5),2),Sheet3!$D$1:$E$7,2,0))</f>
        <v/>
      </c>
      <c r="KM6" s="8" t="str">
        <f>IF(KM$5="","",VLOOKUP(WEEKDAY(DATE($A$2,$A$3+$A$1-1,KM5),2),Sheet3!$D$1:$E$7,2,0))</f>
        <v/>
      </c>
      <c r="KN6" s="8" t="str">
        <f>IF(KN$5="","",VLOOKUP(WEEKDAY(DATE($A$2,$A$3+$A$1-1,KN5),2),Sheet3!$D$1:$E$7,2,0))</f>
        <v/>
      </c>
      <c r="KO6" s="8" t="str">
        <f>IF(KO$5="","",VLOOKUP(WEEKDAY(DATE($A$2,$A$3+$A$1-1,KO5),2),Sheet3!$D$1:$E$7,2,0))</f>
        <v/>
      </c>
      <c r="KP6" s="8" t="str">
        <f>IF(KP$5="","",VLOOKUP(WEEKDAY(DATE($A$2,$A$3+$A$1-1,KP5),2),Sheet3!$D$1:$E$7,2,0))</f>
        <v/>
      </c>
      <c r="KQ6" s="8" t="str">
        <f>IF(KQ$5="","",VLOOKUP(WEEKDAY(DATE($A$2,$A$3+$A$1-1,KQ5),2),Sheet3!$D$1:$E$7,2,0))</f>
        <v/>
      </c>
      <c r="KR6" s="8" t="str">
        <f>IF(KR$5="","",VLOOKUP(WEEKDAY(DATE($A$2,$A$3+$A$1-1,KR5),2),Sheet3!$D$1:$E$7,2,0))</f>
        <v/>
      </c>
      <c r="KS6" s="8" t="str">
        <f>IF(KS$5="","",VLOOKUP(WEEKDAY(DATE($A$2,$A$3+$A$1-1,KS5),2),Sheet3!$D$1:$E$7,2,0))</f>
        <v/>
      </c>
      <c r="KT6" s="8" t="str">
        <f>IF(KT$5="","",VLOOKUP(WEEKDAY(DATE($A$2,$A$3+$A$1-1,KT5),2),Sheet3!$D$1:$E$7,2,0))</f>
        <v/>
      </c>
      <c r="KU6" s="8" t="str">
        <f>IF(KU$5="","",VLOOKUP(WEEKDAY(DATE($A$2,$A$3+$A$1-1,KU5),2),Sheet3!$D$1:$E$7,2,0))</f>
        <v/>
      </c>
      <c r="KV6" s="8" t="str">
        <f>IF(KV$5="","",VLOOKUP(WEEKDAY(DATE($A$2,$A$3+$A$1-1,KV5),2),Sheet3!$D$1:$E$7,2,0))</f>
        <v/>
      </c>
      <c r="KW6" s="8" t="str">
        <f>IF(KW$5="","",VLOOKUP(WEEKDAY(DATE($A$2,$A$3+$A$1-1,KW5),2),Sheet3!$D$1:$E$7,2,0))</f>
        <v/>
      </c>
      <c r="KX6" s="8" t="str">
        <f>IF(KX$5="","",VLOOKUP(WEEKDAY(DATE($A$2,$A$3+$A$1-1,KX5),2),Sheet3!$D$1:$E$7,2,0))</f>
        <v/>
      </c>
      <c r="KY6" s="8" t="str">
        <f>IF(KY$5="","",VLOOKUP(WEEKDAY(DATE($A$2,$A$3+$A$1-1,KY5),2),Sheet3!$D$1:$E$7,2,0))</f>
        <v/>
      </c>
      <c r="KZ6" s="8" t="str">
        <f>IF(KZ$5="","",VLOOKUP(WEEKDAY(DATE($A$2,$A$3+$A$1-1,KZ5),2),Sheet3!$D$1:$E$7,2,0))</f>
        <v/>
      </c>
      <c r="LA6" s="8" t="str">
        <f>IF(LA$5="","",VLOOKUP(WEEKDAY(DATE($A$2,$A$3+$A$1-1,LA5),2),Sheet3!$D$1:$E$7,2,0))</f>
        <v/>
      </c>
      <c r="LB6" s="8" t="str">
        <f>IF(LB$5="","",VLOOKUP(WEEKDAY(DATE($A$2,$A$3+$A$1-1,LB5),2),Sheet3!$D$1:$E$7,2,0))</f>
        <v/>
      </c>
      <c r="LC6" s="8" t="str">
        <f>IF(LC$5="","",VLOOKUP(WEEKDAY(DATE($A$2,$A$3+$A$1-1,LC5),2),Sheet3!$D$1:$E$7,2,0))</f>
        <v/>
      </c>
      <c r="LD6" s="8" t="str">
        <f>IF(LD$5="","",VLOOKUP(WEEKDAY(DATE($A$2,$A$3+$A$1-1,LD5),2),Sheet3!$D$1:$E$7,2,0))</f>
        <v/>
      </c>
      <c r="LE6" s="8" t="str">
        <f>IF(LE$5="","",VLOOKUP(WEEKDAY(DATE($A$2,$A$3+$A$1-1,LE5),2),Sheet3!$D$1:$E$7,2,0))</f>
        <v/>
      </c>
      <c r="LF6" s="8" t="str">
        <f>IF(LF$5="","",VLOOKUP(WEEKDAY(DATE($A$2,$A$3+$A$1-1,LF5),2),Sheet3!$D$1:$E$7,2,0))</f>
        <v/>
      </c>
      <c r="LG6" s="8" t="str">
        <f>IF(LG$5="","",VLOOKUP(WEEKDAY(DATE($A$2,$A$3+$A$1-1,LG5),2),Sheet3!$D$1:$E$7,2,0))</f>
        <v/>
      </c>
      <c r="LH6" s="8" t="str">
        <f>IF(LH$5="","",VLOOKUP(WEEKDAY(DATE($A$2,$A$3+$A$1-1,LH5),2),Sheet3!$D$1:$E$7,2,0))</f>
        <v/>
      </c>
      <c r="LI6" s="8" t="str">
        <f>IF(LI$5="","",VLOOKUP(WEEKDAY(DATE($A$2,$A$3+$A$1-1,LI5),2),Sheet3!$D$1:$E$7,2,0))</f>
        <v/>
      </c>
      <c r="LJ6" s="8" t="str">
        <f>IF(LJ$5="","",VLOOKUP(WEEKDAY(DATE($A$2,$A$3+$A$1-1,LJ5),2),Sheet3!$D$1:$E$7,2,0))</f>
        <v/>
      </c>
      <c r="LK6" s="8" t="str">
        <f>IF(LK$5="","",VLOOKUP(WEEKDAY(DATE($A$2,$A$3+$A$1-1,LK5),2),Sheet3!$D$1:$E$7,2,0))</f>
        <v/>
      </c>
      <c r="LL6" s="8" t="str">
        <f>IF(LL$5="","",VLOOKUP(WEEKDAY(DATE($A$2,$A$3+$A$1-1,LL5),2),Sheet3!$D$1:$E$7,2,0))</f>
        <v/>
      </c>
      <c r="LM6" s="8" t="str">
        <f>IF(LM$5="","",VLOOKUP(WEEKDAY(DATE($A$2,$A$3+$A$1-1,LM5),2),Sheet3!$D$1:$E$7,2,0))</f>
        <v/>
      </c>
      <c r="LN6" s="8" t="str">
        <f>IF(LN$5="","",VLOOKUP(WEEKDAY(DATE($A$2,$A$3+$A$1-1,LN5),2),Sheet3!$D$1:$E$7,2,0))</f>
        <v/>
      </c>
      <c r="LO6" s="8" t="str">
        <f>IF(LO$5="","",VLOOKUP(WEEKDAY(DATE($A$2,$A$3+$A$1-1,LO5),2),Sheet3!$D$1:$E$7,2,0))</f>
        <v/>
      </c>
      <c r="LP6" s="8" t="str">
        <f>IF(LP$5="","",VLOOKUP(WEEKDAY(DATE($A$2,$A$3+$A$1-1,LP5),2),Sheet3!$D$1:$E$7,2,0))</f>
        <v/>
      </c>
      <c r="LQ6" s="8" t="str">
        <f>IF(LQ$5="","",VLOOKUP(WEEKDAY(DATE($A$2,$A$3+$A$1-1,LQ5),2),Sheet3!$D$1:$E$7,2,0))</f>
        <v/>
      </c>
      <c r="LR6" s="8" t="str">
        <f>IF(LR$5="","",VLOOKUP(WEEKDAY(DATE($A$2,$A$3+$A$1-1,LR5),2),Sheet3!$D$1:$E$7,2,0))</f>
        <v/>
      </c>
      <c r="LS6" s="8" t="str">
        <f>IF(LS$5="","",VLOOKUP(WEEKDAY(DATE($A$2,$A$3+$A$1-1,LS5),2),Sheet3!$D$1:$E$7,2,0))</f>
        <v/>
      </c>
      <c r="LT6" s="8" t="str">
        <f>IF(LT$5="","",VLOOKUP(WEEKDAY(DATE($A$2,$A$3+$A$1-1,LT5),2),Sheet3!$D$1:$E$7,2,0))</f>
        <v/>
      </c>
      <c r="LU6" s="8" t="str">
        <f>IF(LU$5="","",VLOOKUP(WEEKDAY(DATE($A$2,$A$3+$A$1-1,LU5),2),Sheet3!$D$1:$E$7,2,0))</f>
        <v/>
      </c>
      <c r="LV6" s="8" t="str">
        <f>IF(LV$5="","",VLOOKUP(WEEKDAY(DATE($A$2,$A$3+$A$1-1,LV5),2),Sheet3!$D$1:$E$7,2,0))</f>
        <v/>
      </c>
      <c r="LW6" s="8" t="str">
        <f>IF(LW$5="","",VLOOKUP(WEEKDAY(DATE($A$2,$A$3+$A$1-1,LW5),2),Sheet3!$D$1:$E$7,2,0))</f>
        <v/>
      </c>
      <c r="LX6" s="8" t="str">
        <f>IF(LX$5="","",VLOOKUP(WEEKDAY(DATE($A$2,$A$3+$A$1-1,LX5),2),Sheet3!$D$1:$E$7,2,0))</f>
        <v/>
      </c>
      <c r="LY6" s="8" t="str">
        <f>IF(LY$5="","",VLOOKUP(WEEKDAY(DATE($A$2,$A$3+$A$1-1,LY5),2),Sheet3!$D$1:$E$7,2,0))</f>
        <v/>
      </c>
      <c r="LZ6" s="8" t="str">
        <f>IF(LZ$5="","",VLOOKUP(WEEKDAY(DATE($A$2,$A$3+$A$1-1,LZ5),2),Sheet3!$D$1:$E$7,2,0))</f>
        <v/>
      </c>
      <c r="MA6" s="8" t="str">
        <f>IF(MA$5="","",VLOOKUP(WEEKDAY(DATE($A$2,$A$3+$A$1-1,MA5),2),Sheet3!$D$1:$E$7,2,0))</f>
        <v/>
      </c>
      <c r="MB6" s="8" t="str">
        <f>IF(MB$5="","",VLOOKUP(WEEKDAY(DATE($A$2,$A$3+$A$1-1,MB5),2),Sheet3!$D$1:$E$7,2,0))</f>
        <v/>
      </c>
      <c r="MC6" s="8" t="str">
        <f>IF(MC$5="","",VLOOKUP(WEEKDAY(DATE($A$2,$A$3+$A$1-1,MC5),2),Sheet3!$D$1:$E$7,2,0))</f>
        <v/>
      </c>
      <c r="MD6" s="8" t="str">
        <f>IF(MD$5="","",VLOOKUP(WEEKDAY(DATE($A$2,$A$3+$A$1-1,MD5),2),Sheet3!$D$1:$E$7,2,0))</f>
        <v/>
      </c>
      <c r="ME6" s="8" t="str">
        <f>IF(ME$5="","",VLOOKUP(WEEKDAY(DATE($A$2,$A$3+$A$1-1,ME5),2),Sheet3!$D$1:$E$7,2,0))</f>
        <v>Mon</v>
      </c>
      <c r="MF6" s="8" t="str">
        <f>IF(MF$5="","",VLOOKUP(WEEKDAY(DATE($A$2,$A$3+$A$1-1,MF5),2),Sheet3!$D$1:$E$7,2,0))</f>
        <v>Tue</v>
      </c>
      <c r="MG6" s="8" t="str">
        <f>IF(MG$5="","",VLOOKUP(WEEKDAY(DATE($A$2,$A$3+$A$1-1,MG5),2),Sheet3!$D$1:$E$7,2,0))</f>
        <v>Wed</v>
      </c>
      <c r="MH6" s="8" t="str">
        <f>IF(MH$5="","",VLOOKUP(WEEKDAY(DATE($A$2,$A$3+$A$1-1,MH5),2),Sheet3!$D$1:$E$7,2,0))</f>
        <v>Thu</v>
      </c>
      <c r="MI6" s="8" t="str">
        <f>IF(MI$5="","",VLOOKUP(WEEKDAY(DATE($A$2,$A$3+$A$1-1,MI5),2),Sheet3!$D$1:$E$7,2,0))</f>
        <v>Fri</v>
      </c>
      <c r="MJ6" s="8" t="str">
        <f>IF(MJ$5="","",VLOOKUP(WEEKDAY(DATE($A$2,$A$3+$A$1-1,MJ5),2),Sheet3!$D$1:$E$7,2,0))</f>
        <v>Sat</v>
      </c>
      <c r="MK6" s="8" t="str">
        <f>IF(MK$5="","",VLOOKUP(WEEKDAY(DATE($A$2,$A$3+$A$1-1,MK5),2),Sheet3!$D$1:$E$7,2,0))</f>
        <v>Sun</v>
      </c>
      <c r="ML6" s="8" t="str">
        <f>IF(ML$5="","",VLOOKUP(WEEKDAY(DATE($A$2,$A$3+$A$1-1,ML5),2),Sheet3!$D$1:$E$7,2,0))</f>
        <v>Mon</v>
      </c>
      <c r="MM6" s="8" t="str">
        <f>IF(MM$5="","",VLOOKUP(WEEKDAY(DATE($A$2,$A$3+$A$1-1,MM5),2),Sheet3!$D$1:$E$7,2,0))</f>
        <v>Tue</v>
      </c>
      <c r="MN6" s="8" t="str">
        <f>IF(MN$5="","",VLOOKUP(WEEKDAY(DATE($A$2,$A$3+$A$1-1,MN5),2),Sheet3!$D$1:$E$7,2,0))</f>
        <v>Wed</v>
      </c>
      <c r="MO6" s="8" t="str">
        <f>IF(MO$5="","",VLOOKUP(WEEKDAY(DATE($A$2,$A$3+$A$1-1,MO5),2),Sheet3!$D$1:$E$7,2,0))</f>
        <v>Thu</v>
      </c>
      <c r="MP6" s="8" t="str">
        <f>IF(MP$5="","",VLOOKUP(WEEKDAY(DATE($A$2,$A$3+$A$1-1,MP5),2),Sheet3!$D$1:$E$7,2,0))</f>
        <v>Fri</v>
      </c>
      <c r="MQ6" s="8" t="str">
        <f>IF(MQ$5="","",VLOOKUP(WEEKDAY(DATE($A$2,$A$3+$A$1-1,MQ5),2),Sheet3!$D$1:$E$7,2,0))</f>
        <v>Sat</v>
      </c>
      <c r="MR6" s="8" t="str">
        <f>IF(MR$5="","",VLOOKUP(WEEKDAY(DATE($A$2,$A$3+$A$1-1,MR5),2),Sheet3!$D$1:$E$7,2,0))</f>
        <v>Sun</v>
      </c>
      <c r="MS6" s="8" t="str">
        <f>IF(MS$5="","",VLOOKUP(WEEKDAY(DATE($A$2,$A$3+$A$1-1,MS5),2),Sheet3!$D$1:$E$7,2,0))</f>
        <v>Mon</v>
      </c>
      <c r="MT6" s="8" t="str">
        <f>IF(MT$5="","",VLOOKUP(WEEKDAY(DATE($A$2,$A$3+$A$1-1,MT5),2),Sheet3!$D$1:$E$7,2,0))</f>
        <v>Tue</v>
      </c>
      <c r="MU6" s="8" t="str">
        <f>IF(MU$5="","",VLOOKUP(WEEKDAY(DATE($A$2,$A$3+$A$1-1,MU5),2),Sheet3!$D$1:$E$7,2,0))</f>
        <v>Wed</v>
      </c>
      <c r="MV6" s="8" t="str">
        <f>IF(MV$5="","",VLOOKUP(WEEKDAY(DATE($A$2,$A$3+$A$1-1,MV5),2),Sheet3!$D$1:$E$7,2,0))</f>
        <v>Thu</v>
      </c>
      <c r="MW6" s="8" t="str">
        <f>IF(MW$5="","",VLOOKUP(WEEKDAY(DATE($A$2,$A$3+$A$1-1,MW5),2),Sheet3!$D$1:$E$7,2,0))</f>
        <v>Fri</v>
      </c>
      <c r="MX6" s="8" t="str">
        <f>IF(MX$5="","",VLOOKUP(WEEKDAY(DATE($A$2,$A$3+$A$1-1,MX5),2),Sheet3!$D$1:$E$7,2,0))</f>
        <v>Sat</v>
      </c>
      <c r="MY6" s="8" t="str">
        <f>IF(MY$5="","",VLOOKUP(WEEKDAY(DATE($A$2,$A$3+$A$1-1,MY5),2),Sheet3!$D$1:$E$7,2,0))</f>
        <v>Sun</v>
      </c>
      <c r="MZ6" s="8" t="str">
        <f>IF(MZ$5="","",VLOOKUP(WEEKDAY(DATE($A$2,$A$3+$A$1-1,MZ5),2),Sheet3!$D$1:$E$7,2,0))</f>
        <v>Mon</v>
      </c>
      <c r="NA6" s="8" t="str">
        <f>IF(NA$5="","",VLOOKUP(WEEKDAY(DATE($A$2,$A$3+$A$1-1,NA5),2),Sheet3!$D$1:$E$7,2,0))</f>
        <v>Tue</v>
      </c>
      <c r="NB6" s="8" t="str">
        <f>IF(NB$5="","",VLOOKUP(WEEKDAY(DATE($A$2,$A$3+$A$1-1,NB5),2),Sheet3!$D$1:$E$7,2,0))</f>
        <v>Wed</v>
      </c>
      <c r="NC6" s="8" t="str">
        <f>IF(NC$5="","",VLOOKUP(WEEKDAY(DATE($A$2,$A$3+$A$1-1,NC5),2),Sheet3!$D$1:$E$7,2,0))</f>
        <v>Thu</v>
      </c>
      <c r="ND6" s="8" t="str">
        <f>IF(ND$5="","",VLOOKUP(WEEKDAY(DATE($A$2,$A$3+$A$1-1,ND5),2),Sheet3!$D$1:$E$7,2,0))</f>
        <v>Fri</v>
      </c>
      <c r="NE6" s="8" t="str">
        <f>IF(NE$5="","",VLOOKUP(WEEKDAY(DATE($A$2,$A$3+$A$1-1,NE5),2),Sheet3!$D$1:$E$7,2,0))</f>
        <v>Sat</v>
      </c>
      <c r="NF6" s="8" t="str">
        <f>IF(NF$5="","",VLOOKUP(WEEKDAY(DATE($A$2,$A$3+$A$1-1,NF5),2),Sheet3!$D$1:$E$7,2,0))</f>
        <v>Sun</v>
      </c>
      <c r="NG6" s="8" t="str">
        <f>IF(NG$5="","",VLOOKUP(WEEKDAY(DATE($A$2,$A$3+$A$1-1,NG5),2),Sheet3!$D$1:$E$7,2,0))</f>
        <v>Mon</v>
      </c>
      <c r="NH6" s="8" t="str">
        <f>IF(NH$5="","",VLOOKUP(WEEKDAY(DATE($A$2,$A$3+$A$1-1,NH5),2),Sheet3!$D$1:$E$7,2,0))</f>
        <v>Tue</v>
      </c>
      <c r="NI6" s="8" t="str">
        <f>IF(NI$5="","",VLOOKUP(WEEKDAY(DATE($A$2,$A$3+$A$1-1,NI5),2),Sheet3!$D$1:$E$7,2,0))</f>
        <v>Wed</v>
      </c>
      <c r="NJ6" s="8" t="str">
        <f>IF(NJ$5="","",VLOOKUP(WEEKDAY(DATE($A$2,$A$3+$A$1-1,NJ5),2),Sheet3!$D$1:$E$7,2,0))</f>
        <v/>
      </c>
      <c r="NK6" s="37"/>
      <c r="NL6" s="35"/>
      <c r="NM6" s="35"/>
      <c r="NN6" s="35"/>
      <c r="NO6" s="35"/>
      <c r="NP6" s="34"/>
      <c r="NQ6" s="34"/>
      <c r="NR6" s="34"/>
      <c r="NS6" s="34"/>
      <c r="NT6" s="34"/>
      <c r="NU6" s="34"/>
      <c r="NW6" s="26" t="s">
        <v>29</v>
      </c>
      <c r="NX6" s="26" t="s">
        <v>38</v>
      </c>
    </row>
    <row r="7" spans="1:761" x14ac:dyDescent="0.25">
      <c r="A7" s="3" t="s">
        <v>18</v>
      </c>
      <c r="B7" s="20" t="str">
        <f>IF(B$5="","",WEEKNUM(DATE($A$2,VLOOKUP($A$1,Sheet3!$A$1:$B$12,2,0),COLUMNS($A$6:A6)),2))</f>
        <v/>
      </c>
      <c r="C7" s="20" t="str">
        <f>IF(C$5="","",WEEKNUM(DATE($A$2,VLOOKUP($A$1,Sheet3!$A$1:$B$12,2,0),COLUMNS($A$6:B6)),2))</f>
        <v/>
      </c>
      <c r="D7" s="20" t="str">
        <f>IF(D$5="","",WEEKNUM(DATE($A$2,VLOOKUP($A$1,Sheet3!$A$1:$B$12,2,0),COLUMNS($A$6:C6)),2))</f>
        <v/>
      </c>
      <c r="E7" s="20" t="str">
        <f>IF(E$5="","",WEEKNUM(DATE($A$2,VLOOKUP($A$1,Sheet3!$A$1:$B$12,2,0),COLUMNS($A$6:D6)),2))</f>
        <v/>
      </c>
      <c r="F7" s="20" t="str">
        <f>IF(F$5="","",WEEKNUM(DATE($A$2,VLOOKUP($A$1,Sheet3!$A$1:$B$12,2,0),COLUMNS($A$6:E6)),2))</f>
        <v/>
      </c>
      <c r="G7" s="20" t="str">
        <f>IF(G$5="","",WEEKNUM(DATE($A$2,VLOOKUP($A$1,Sheet3!$A$1:$B$12,2,0),COLUMNS($A$6:F6)),2))</f>
        <v/>
      </c>
      <c r="H7" s="20" t="str">
        <f>IF(H$5="","",WEEKNUM(DATE($A$2,VLOOKUP($A$1,Sheet3!$A$1:$B$12,2,0),COLUMNS($A$6:G6)),2))</f>
        <v/>
      </c>
      <c r="I7" s="20" t="str">
        <f>IF(I$5="","",WEEKNUM(DATE($A$2,VLOOKUP($A$1,Sheet3!$A$1:$B$12,2,0),COLUMNS($A$6:H6)),2))</f>
        <v/>
      </c>
      <c r="J7" s="20" t="str">
        <f>IF(J$5="","",WEEKNUM(DATE($A$2,VLOOKUP($A$1,Sheet3!$A$1:$B$12,2,0),COLUMNS($A$6:I6)),2))</f>
        <v/>
      </c>
      <c r="K7" s="20" t="str">
        <f>IF(K$5="","",WEEKNUM(DATE($A$2,VLOOKUP($A$1,Sheet3!$A$1:$B$12,2,0),COLUMNS($A$6:J6)),2))</f>
        <v/>
      </c>
      <c r="L7" s="20" t="str">
        <f>IF(L$5="","",WEEKNUM(DATE($A$2,VLOOKUP($A$1,Sheet3!$A$1:$B$12,2,0),COLUMNS($A$6:K6)),2))</f>
        <v/>
      </c>
      <c r="M7" s="20" t="str">
        <f>IF(M$5="","",WEEKNUM(DATE($A$2,VLOOKUP($A$1,Sheet3!$A$1:$B$12,2,0),COLUMNS($A$6:L6)),2))</f>
        <v/>
      </c>
      <c r="N7" s="20" t="str">
        <f>IF(N$5="","",WEEKNUM(DATE($A$2,VLOOKUP($A$1,Sheet3!$A$1:$B$12,2,0),COLUMNS($A$6:M6)),2))</f>
        <v/>
      </c>
      <c r="O7" s="20" t="str">
        <f>IF(O$5="","",WEEKNUM(DATE($A$2,VLOOKUP($A$1,Sheet3!$A$1:$B$12,2,0),COLUMNS($A$6:N6)),2))</f>
        <v/>
      </c>
      <c r="P7" s="20" t="str">
        <f>IF(P$5="","",WEEKNUM(DATE($A$2,VLOOKUP($A$1,Sheet3!$A$1:$B$12,2,0),COLUMNS($A$6:O6)),2))</f>
        <v/>
      </c>
      <c r="Q7" s="20" t="str">
        <f>IF(Q$5="","",WEEKNUM(DATE($A$2,VLOOKUP($A$1,Sheet3!$A$1:$B$12,2,0),COLUMNS($A$6:P6)),2))</f>
        <v/>
      </c>
      <c r="R7" s="20" t="str">
        <f>IF(R$5="","",WEEKNUM(DATE($A$2,VLOOKUP($A$1,Sheet3!$A$1:$B$12,2,0),COLUMNS($A$6:Q6)),2))</f>
        <v/>
      </c>
      <c r="S7" s="20" t="str">
        <f>IF(S$5="","",WEEKNUM(DATE($A$2,VLOOKUP($A$1,Sheet3!$A$1:$B$12,2,0),COLUMNS($A$6:R6)),2))</f>
        <v/>
      </c>
      <c r="T7" s="20" t="str">
        <f>IF(T$5="","",WEEKNUM(DATE($A$2,VLOOKUP($A$1,Sheet3!$A$1:$B$12,2,0),COLUMNS($A$6:S6)),2))</f>
        <v/>
      </c>
      <c r="U7" s="20" t="str">
        <f>IF(U$5="","",WEEKNUM(DATE($A$2,VLOOKUP($A$1,Sheet3!$A$1:$B$12,2,0),COLUMNS($A$6:T6)),2))</f>
        <v/>
      </c>
      <c r="V7" s="20" t="str">
        <f>IF(V$5="","",WEEKNUM(DATE($A$2,VLOOKUP($A$1,Sheet3!$A$1:$B$12,2,0),COLUMNS($A$6:U6)),2))</f>
        <v/>
      </c>
      <c r="W7" s="20" t="str">
        <f>IF(W$5="","",WEEKNUM(DATE($A$2,VLOOKUP($A$1,Sheet3!$A$1:$B$12,2,0),COLUMNS($A$6:V6)),2))</f>
        <v/>
      </c>
      <c r="X7" s="20" t="str">
        <f>IF(X$5="","",WEEKNUM(DATE($A$2,VLOOKUP($A$1,Sheet3!$A$1:$B$12,2,0),COLUMNS($A$6:W6)),2))</f>
        <v/>
      </c>
      <c r="Y7" s="20" t="str">
        <f>IF(Y$5="","",WEEKNUM(DATE($A$2,VLOOKUP($A$1,Sheet3!$A$1:$B$12,2,0),COLUMNS($A$6:X6)),2))</f>
        <v/>
      </c>
      <c r="Z7" s="20" t="str">
        <f>IF(Z$5="","",WEEKNUM(DATE($A$2,VLOOKUP($A$1,Sheet3!$A$1:$B$12,2,0),COLUMNS($A$6:Y6)),2))</f>
        <v/>
      </c>
      <c r="AA7" s="20" t="str">
        <f>IF(AA$5="","",WEEKNUM(DATE($A$2,VLOOKUP($A$1,Sheet3!$A$1:$B$12,2,0),COLUMNS($A$6:Z6)),2))</f>
        <v/>
      </c>
      <c r="AB7" s="20" t="str">
        <f>IF(AB$5="","",WEEKNUM(DATE($A$2,VLOOKUP($A$1,Sheet3!$A$1:$B$12,2,0),COLUMNS($A$6:AA6)),2))</f>
        <v/>
      </c>
      <c r="AC7" s="20" t="str">
        <f>IF(AC$5="","",WEEKNUM(DATE($A$2,VLOOKUP($A$1,Sheet3!$A$1:$B$12,2,0),COLUMNS($A$6:AB6)),2))</f>
        <v/>
      </c>
      <c r="AD7" s="20" t="str">
        <f>IF(AD$5="","",WEEKNUM(DATE($A$2,VLOOKUP($A$1,Sheet3!$A$1:$B$12,2,0),COLUMNS($A$6:AC6)),2))</f>
        <v/>
      </c>
      <c r="AE7" s="20" t="str">
        <f>IF(AE$5="","",WEEKNUM(DATE($A$2,VLOOKUP($A$1,Sheet3!$A$1:$B$12,2,0),COLUMNS($A$6:AD6)),2))</f>
        <v/>
      </c>
      <c r="AF7" s="20" t="str">
        <f>IF(AF$5="","",WEEKNUM(DATE($A$2,VLOOKUP($A$1,Sheet3!$A$1:$B$12,2,0),COLUMNS($A$6:AE6)),2))</f>
        <v/>
      </c>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21"/>
      <c r="NL7" s="22"/>
      <c r="NM7" s="22"/>
      <c r="NN7" s="22"/>
      <c r="NO7" s="22"/>
      <c r="NP7" s="22"/>
      <c r="NQ7" s="22"/>
      <c r="NR7" s="22"/>
      <c r="NS7" s="22"/>
      <c r="NT7" s="22"/>
      <c r="NU7" s="22"/>
      <c r="NW7" s="1"/>
      <c r="NX7" s="1"/>
    </row>
    <row r="8" spans="1:761" x14ac:dyDescent="0.25">
      <c r="A8" s="1" t="s">
        <v>102</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t="s">
        <v>37</v>
      </c>
      <c r="NA8" s="1"/>
      <c r="NB8" s="1"/>
      <c r="NC8" s="1"/>
      <c r="ND8" s="1"/>
      <c r="NE8" s="1"/>
      <c r="NF8" s="1"/>
      <c r="NG8" s="1"/>
      <c r="NH8" s="1"/>
      <c r="NI8" s="1"/>
      <c r="NJ8" s="1" t="s">
        <v>49</v>
      </c>
      <c r="NK8" s="18">
        <f t="array" aca="1" ref="NK8" ca="1">SUMPRODUCT((OFFSET($A8,0,1,1,372)&lt;&gt;"")*(IF(OFFSET($A8,0,1,1,372)=$NX$16,0.5,IF(OFFSET($A8,0,1,1,372)=$NX$17,0.5,1))*(OFFSET($A$3,0,1,1,372))))</f>
        <v>1</v>
      </c>
      <c r="NL8" s="23">
        <f t="shared" ref="NL8:NU17" ca="1" si="6">SUMPRODUCT((OFFSET($A8,0,1,1,372)&lt;&gt;"")*(OFFSET($A$3,0,1,1,372))*((OFFSET($A8,0,1,1,372))=NL$5))</f>
        <v>0</v>
      </c>
      <c r="NM8" s="23">
        <f t="shared" ca="1" si="6"/>
        <v>0</v>
      </c>
      <c r="NN8" s="23">
        <f t="shared" ca="1" si="6"/>
        <v>0</v>
      </c>
      <c r="NO8" s="23">
        <f t="shared" ca="1" si="6"/>
        <v>1</v>
      </c>
      <c r="NP8" s="23">
        <f t="shared" ca="1" si="6"/>
        <v>0</v>
      </c>
      <c r="NQ8" s="23">
        <f t="shared" ca="1" si="6"/>
        <v>0</v>
      </c>
      <c r="NR8" s="23">
        <f t="shared" ca="1" si="6"/>
        <v>0</v>
      </c>
      <c r="NS8" s="23">
        <f t="shared" ca="1" si="6"/>
        <v>0</v>
      </c>
      <c r="NT8" s="23">
        <f t="shared" ca="1" si="6"/>
        <v>0</v>
      </c>
      <c r="NU8" s="23">
        <f t="shared" ca="1" si="6"/>
        <v>0</v>
      </c>
      <c r="NW8" s="24" t="s">
        <v>50</v>
      </c>
      <c r="NX8" s="25" t="s">
        <v>49</v>
      </c>
    </row>
    <row r="9" spans="1:761" x14ac:dyDescent="0.25">
      <c r="A9" s="1" t="s">
        <v>103</v>
      </c>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32" t="s">
        <v>26</v>
      </c>
      <c r="DB9" s="32"/>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t="s">
        <v>37</v>
      </c>
      <c r="NA9" s="1"/>
      <c r="NB9" s="1"/>
      <c r="NC9" s="1"/>
      <c r="ND9" s="1"/>
      <c r="NE9" s="1"/>
      <c r="NF9" s="1"/>
      <c r="NG9" s="1"/>
      <c r="NH9" s="1"/>
      <c r="NI9" s="1"/>
      <c r="NJ9" s="1"/>
      <c r="NK9" s="18">
        <f t="array" aca="1" ref="NK9" ca="1">SUMPRODUCT((OFFSET($A9,0,1,1,372)&lt;&gt;"")*(IF(OFFSET($A9,0,1,1,372)=$NX$16,0.5,IF(OFFSET($A9,0,1,1,372)=$NX$17,0.5,1))*(OFFSET($A$3,0,1,1,372))))</f>
        <v>2</v>
      </c>
      <c r="NL9" s="23">
        <f t="shared" ca="1" si="6"/>
        <v>1</v>
      </c>
      <c r="NM9" s="23">
        <f t="shared" ca="1" si="6"/>
        <v>0</v>
      </c>
      <c r="NN9" s="23">
        <f t="shared" ca="1" si="6"/>
        <v>0</v>
      </c>
      <c r="NO9" s="23">
        <f t="shared" ca="1" si="6"/>
        <v>1</v>
      </c>
      <c r="NP9" s="23">
        <f t="shared" ca="1" si="6"/>
        <v>0</v>
      </c>
      <c r="NQ9" s="23">
        <f t="shared" ca="1" si="6"/>
        <v>0</v>
      </c>
      <c r="NR9" s="23">
        <f t="shared" ca="1" si="6"/>
        <v>0</v>
      </c>
      <c r="NS9" s="23">
        <f t="shared" ca="1" si="6"/>
        <v>0</v>
      </c>
      <c r="NT9" s="23">
        <f t="shared" ca="1" si="6"/>
        <v>0</v>
      </c>
      <c r="NU9" s="23">
        <f t="shared" ca="1" si="6"/>
        <v>0</v>
      </c>
      <c r="NW9" s="24" t="s">
        <v>192</v>
      </c>
      <c r="NX9" s="25" t="s">
        <v>190</v>
      </c>
    </row>
    <row r="10" spans="1:761" x14ac:dyDescent="0.25">
      <c r="A10" s="1" t="s">
        <v>104</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t="s">
        <v>49</v>
      </c>
      <c r="JZ10" s="1"/>
      <c r="KA10" s="1"/>
      <c r="KB10" s="1" t="s">
        <v>49</v>
      </c>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t="s">
        <v>37</v>
      </c>
      <c r="NA10" s="1"/>
      <c r="NB10" s="1"/>
      <c r="NC10" s="1"/>
      <c r="ND10" s="1"/>
      <c r="NE10" s="1"/>
      <c r="NF10" s="1"/>
      <c r="NG10" s="1"/>
      <c r="NH10" s="1"/>
      <c r="NI10" s="1"/>
      <c r="NJ10" s="1"/>
      <c r="NK10" s="18">
        <f t="array" aca="1" ref="NK10" ca="1">SUMPRODUCT((OFFSET($A10,0,1,1,372)&lt;&gt;"")*(IF(OFFSET($A10,0,1,1,372)=$NX$16,0.5,IF(OFFSET($A10,0,1,1,372)=$NX$17,0.5,1))*(OFFSET($A$3,0,1,1,372))))</f>
        <v>2</v>
      </c>
      <c r="NL10" s="23">
        <f t="shared" ca="1" si="6"/>
        <v>0</v>
      </c>
      <c r="NM10" s="23">
        <f t="shared" ca="1" si="6"/>
        <v>1</v>
      </c>
      <c r="NN10" s="23">
        <f t="shared" ca="1" si="6"/>
        <v>0</v>
      </c>
      <c r="NO10" s="23">
        <f t="shared" ca="1" si="6"/>
        <v>1</v>
      </c>
      <c r="NP10" s="23">
        <f t="shared" ca="1" si="6"/>
        <v>0</v>
      </c>
      <c r="NQ10" s="23">
        <f t="shared" ca="1" si="6"/>
        <v>0</v>
      </c>
      <c r="NR10" s="23">
        <f t="shared" ca="1" si="6"/>
        <v>0</v>
      </c>
      <c r="NS10" s="23">
        <f t="shared" ca="1" si="6"/>
        <v>0</v>
      </c>
      <c r="NT10" s="23">
        <f t="shared" ca="1" si="6"/>
        <v>0</v>
      </c>
      <c r="NU10" s="23">
        <f t="shared" ca="1" si="6"/>
        <v>0</v>
      </c>
      <c r="NW10" s="16" t="s">
        <v>193</v>
      </c>
      <c r="NX10" s="25" t="s">
        <v>194</v>
      </c>
    </row>
    <row r="11" spans="1:761" x14ac:dyDescent="0.25">
      <c r="A11" s="1" t="s">
        <v>105</v>
      </c>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t="s">
        <v>37</v>
      </c>
      <c r="NA11" s="1"/>
      <c r="NB11" s="1"/>
      <c r="NC11" s="1"/>
      <c r="ND11" s="1"/>
      <c r="NE11" s="1"/>
      <c r="NF11" s="1"/>
      <c r="NG11" s="1"/>
      <c r="NH11" s="1"/>
      <c r="NI11" s="1"/>
      <c r="NJ11" s="1"/>
      <c r="NK11" s="18">
        <f t="array" aca="1" ref="NK11" ca="1">SUMPRODUCT((OFFSET($A11,0,1,1,372)&lt;&gt;"")*(IF(OFFSET($A11,0,1,1,372)=$NX$16,0.5,IF(OFFSET($A11,0,1,1,372)=$NX$17,0.5,1))*(OFFSET($A$3,0,1,1,372))))</f>
        <v>1</v>
      </c>
      <c r="NL11" s="23">
        <f t="shared" ca="1" si="6"/>
        <v>0</v>
      </c>
      <c r="NM11" s="23">
        <f t="shared" ca="1" si="6"/>
        <v>0</v>
      </c>
      <c r="NN11" s="23">
        <f t="shared" ca="1" si="6"/>
        <v>0</v>
      </c>
      <c r="NO11" s="23">
        <f t="shared" ca="1" si="6"/>
        <v>1</v>
      </c>
      <c r="NP11" s="23">
        <f t="shared" ca="1" si="6"/>
        <v>0</v>
      </c>
      <c r="NQ11" s="23">
        <f t="shared" ca="1" si="6"/>
        <v>0</v>
      </c>
      <c r="NR11" s="23">
        <f t="shared" ca="1" si="6"/>
        <v>0</v>
      </c>
      <c r="NS11" s="23">
        <f t="shared" ca="1" si="6"/>
        <v>0</v>
      </c>
      <c r="NT11" s="23">
        <f t="shared" ca="1" si="6"/>
        <v>0</v>
      </c>
      <c r="NU11" s="23">
        <f t="shared" ca="1" si="6"/>
        <v>0</v>
      </c>
      <c r="NW11" s="16" t="s">
        <v>191</v>
      </c>
      <c r="NX11" s="25" t="s">
        <v>37</v>
      </c>
    </row>
    <row r="12" spans="1:761" x14ac:dyDescent="0.25">
      <c r="A12" s="1" t="s">
        <v>106</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t="s">
        <v>49</v>
      </c>
      <c r="JN12" s="1" t="s">
        <v>49</v>
      </c>
      <c r="JO12" s="1" t="s">
        <v>49</v>
      </c>
      <c r="JP12" s="1" t="s">
        <v>49</v>
      </c>
      <c r="JQ12" s="1" t="s">
        <v>49</v>
      </c>
      <c r="JR12" s="1"/>
      <c r="JS12" s="1"/>
      <c r="JT12" s="1" t="s">
        <v>49</v>
      </c>
      <c r="JU12" s="1"/>
      <c r="JV12" s="1" t="s">
        <v>49</v>
      </c>
      <c r="JW12" s="1" t="s">
        <v>49</v>
      </c>
      <c r="JX12" s="1" t="s">
        <v>49</v>
      </c>
      <c r="JY12" s="1" t="s">
        <v>49</v>
      </c>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t="s">
        <v>37</v>
      </c>
      <c r="NA12" s="1"/>
      <c r="NB12" s="1"/>
      <c r="NC12" s="1"/>
      <c r="ND12" s="1"/>
      <c r="NE12" s="1"/>
      <c r="NF12" s="1"/>
      <c r="NG12" s="1"/>
      <c r="NH12" s="1"/>
      <c r="NI12" s="1"/>
      <c r="NJ12" s="1"/>
      <c r="NK12" s="18">
        <f t="array" aca="1" ref="NK12" ca="1">SUMPRODUCT((OFFSET($A12,0,1,1,372)&lt;&gt;"")*(IF(OFFSET($A12,0,1,1,372)=$NX$16,0.5,IF(OFFSET($A12,0,1,1,372)=$NX$17,0.5,1))*(OFFSET($A$3,0,1,1,372))))</f>
        <v>7</v>
      </c>
      <c r="NL12" s="23">
        <f t="shared" ca="1" si="6"/>
        <v>0</v>
      </c>
      <c r="NM12" s="23">
        <f t="shared" ca="1" si="6"/>
        <v>6</v>
      </c>
      <c r="NN12" s="23">
        <f t="shared" ca="1" si="6"/>
        <v>0</v>
      </c>
      <c r="NO12" s="23">
        <f t="shared" ca="1" si="6"/>
        <v>1</v>
      </c>
      <c r="NP12" s="23">
        <f t="shared" ca="1" si="6"/>
        <v>0</v>
      </c>
      <c r="NQ12" s="23">
        <f t="shared" ca="1" si="6"/>
        <v>0</v>
      </c>
      <c r="NR12" s="23">
        <f t="shared" ca="1" si="6"/>
        <v>0</v>
      </c>
      <c r="NS12" s="23">
        <f t="shared" ca="1" si="6"/>
        <v>0</v>
      </c>
      <c r="NT12" s="23">
        <f t="shared" ca="1" si="6"/>
        <v>0</v>
      </c>
      <c r="NU12" s="23">
        <f t="shared" ca="1" si="6"/>
        <v>0</v>
      </c>
      <c r="NW12" s="16" t="s">
        <v>196</v>
      </c>
      <c r="NX12" s="25" t="s">
        <v>26</v>
      </c>
    </row>
    <row r="13" spans="1:761" x14ac:dyDescent="0.25">
      <c r="A13" s="1" t="s">
        <v>107</v>
      </c>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t="s">
        <v>49</v>
      </c>
      <c r="JU13" s="1"/>
      <c r="JV13" s="1" t="s">
        <v>49</v>
      </c>
      <c r="JW13" s="1" t="s">
        <v>49</v>
      </c>
      <c r="JX13" s="1" t="s">
        <v>49</v>
      </c>
      <c r="JY13" s="1" t="s">
        <v>49</v>
      </c>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t="s">
        <v>37</v>
      </c>
      <c r="NA13" s="1"/>
      <c r="NB13" s="1"/>
      <c r="NC13" s="1"/>
      <c r="ND13" s="1"/>
      <c r="NE13" s="1"/>
      <c r="NF13" s="1"/>
      <c r="NG13" s="1"/>
      <c r="NH13" s="1"/>
      <c r="NI13" s="1"/>
      <c r="NJ13" s="1"/>
      <c r="NK13" s="18">
        <f t="array" aca="1" ref="NK13" ca="1">SUMPRODUCT((OFFSET($A13,0,1,1,372)&lt;&gt;"")*(IF(OFFSET($A13,0,1,1,372)=$NX$16,0.5,IF(OFFSET($A13,0,1,1,372)=$NX$17,0.5,1))*(OFFSET($A$3,0,1,1,372))))</f>
        <v>4</v>
      </c>
      <c r="NL13" s="23">
        <f t="shared" ca="1" si="6"/>
        <v>0</v>
      </c>
      <c r="NM13" s="23">
        <f t="shared" ca="1" si="6"/>
        <v>3</v>
      </c>
      <c r="NN13" s="23">
        <f t="shared" ca="1" si="6"/>
        <v>0</v>
      </c>
      <c r="NO13" s="23">
        <f t="shared" ca="1" si="6"/>
        <v>1</v>
      </c>
      <c r="NP13" s="23">
        <f t="shared" ca="1" si="6"/>
        <v>0</v>
      </c>
      <c r="NQ13" s="23">
        <f t="shared" ca="1" si="6"/>
        <v>0</v>
      </c>
      <c r="NR13" s="23">
        <f t="shared" ca="1" si="6"/>
        <v>0</v>
      </c>
      <c r="NS13" s="23">
        <f t="shared" ca="1" si="6"/>
        <v>0</v>
      </c>
      <c r="NT13" s="23">
        <f t="shared" ca="1" si="6"/>
        <v>0</v>
      </c>
      <c r="NU13" s="23">
        <f t="shared" ca="1" si="6"/>
        <v>0</v>
      </c>
      <c r="NW13" s="24" t="s">
        <v>39</v>
      </c>
      <c r="NX13" s="25" t="s">
        <v>40</v>
      </c>
    </row>
    <row r="14" spans="1:761" x14ac:dyDescent="0.25">
      <c r="A14" s="1" t="s">
        <v>108</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t="s">
        <v>37</v>
      </c>
      <c r="NA14" s="1"/>
      <c r="NB14" s="1"/>
      <c r="NC14" s="1"/>
      <c r="ND14" s="1"/>
      <c r="NE14" s="1"/>
      <c r="NF14" s="1"/>
      <c r="NG14" s="1"/>
      <c r="NH14" s="1"/>
      <c r="NI14" s="1"/>
      <c r="NJ14" s="1"/>
      <c r="NK14" s="18">
        <f t="array" aca="1" ref="NK14" ca="1">SUMPRODUCT((OFFSET($A14,0,1,1,372)&lt;&gt;"")*(IF(OFFSET($A14,0,1,1,372)=$NX$16,0.5,IF(OFFSET($A14,0,1,1,372)=$NX$17,0.5,1))*(OFFSET($A$3,0,1,1,372))))</f>
        <v>1</v>
      </c>
      <c r="NL14" s="23">
        <f t="shared" ca="1" si="6"/>
        <v>0</v>
      </c>
      <c r="NM14" s="23">
        <f t="shared" ca="1" si="6"/>
        <v>0</v>
      </c>
      <c r="NN14" s="23">
        <f t="shared" ca="1" si="6"/>
        <v>0</v>
      </c>
      <c r="NO14" s="23">
        <f t="shared" ca="1" si="6"/>
        <v>1</v>
      </c>
      <c r="NP14" s="23">
        <f t="shared" ca="1" si="6"/>
        <v>0</v>
      </c>
      <c r="NQ14" s="23">
        <f t="shared" ca="1" si="6"/>
        <v>0</v>
      </c>
      <c r="NR14" s="23">
        <f t="shared" ca="1" si="6"/>
        <v>0</v>
      </c>
      <c r="NS14" s="23">
        <f t="shared" ca="1" si="6"/>
        <v>0</v>
      </c>
      <c r="NT14" s="23">
        <f t="shared" ca="1" si="6"/>
        <v>0</v>
      </c>
      <c r="NU14" s="23">
        <f t="shared" ca="1" si="6"/>
        <v>0</v>
      </c>
      <c r="NW14" s="16" t="s">
        <v>25</v>
      </c>
      <c r="NX14" s="25" t="s">
        <v>197</v>
      </c>
    </row>
    <row r="15" spans="1:761" x14ac:dyDescent="0.25">
      <c r="A15" s="1" t="s">
        <v>109</v>
      </c>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t="s">
        <v>49</v>
      </c>
      <c r="IZ15" s="1" t="s">
        <v>49</v>
      </c>
      <c r="JA15" s="1" t="s">
        <v>49</v>
      </c>
      <c r="JB15" s="1" t="s">
        <v>49</v>
      </c>
      <c r="JC15" s="1" t="s">
        <v>49</v>
      </c>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t="s">
        <v>37</v>
      </c>
      <c r="NA15" s="1"/>
      <c r="NB15" s="1"/>
      <c r="NC15" s="1"/>
      <c r="ND15" s="1"/>
      <c r="NE15" s="1"/>
      <c r="NF15" s="1"/>
      <c r="NG15" s="1"/>
      <c r="NH15" s="1"/>
      <c r="NI15" s="1"/>
      <c r="NJ15" s="1"/>
      <c r="NK15" s="18">
        <f t="array" aca="1" ref="NK15" ca="1">SUMPRODUCT((OFFSET($A15,0,1,1,372)&lt;&gt;"")*(IF(OFFSET($A15,0,1,1,372)=$NX$16,0.5,IF(OFFSET($A15,0,1,1,372)=$NX$17,0.5,1))*(OFFSET($A$3,0,1,1,372))))</f>
        <v>4</v>
      </c>
      <c r="NL15" s="23">
        <f t="shared" ca="1" si="6"/>
        <v>0</v>
      </c>
      <c r="NM15" s="23">
        <f t="shared" ca="1" si="6"/>
        <v>3</v>
      </c>
      <c r="NN15" s="23">
        <f t="shared" ca="1" si="6"/>
        <v>0</v>
      </c>
      <c r="NO15" s="23">
        <f t="shared" ca="1" si="6"/>
        <v>1</v>
      </c>
      <c r="NP15" s="23">
        <f t="shared" ca="1" si="6"/>
        <v>0</v>
      </c>
      <c r="NQ15" s="23">
        <f t="shared" ca="1" si="6"/>
        <v>0</v>
      </c>
      <c r="NR15" s="23">
        <f t="shared" ca="1" si="6"/>
        <v>0</v>
      </c>
      <c r="NS15" s="23">
        <f t="shared" ca="1" si="6"/>
        <v>0</v>
      </c>
      <c r="NT15" s="23">
        <f t="shared" ca="1" si="6"/>
        <v>0</v>
      </c>
      <c r="NU15" s="23">
        <f t="shared" ca="1" si="6"/>
        <v>0</v>
      </c>
      <c r="NW15" s="16" t="s">
        <v>198</v>
      </c>
      <c r="NX15" s="25" t="s">
        <v>199</v>
      </c>
    </row>
    <row r="16" spans="1:761" x14ac:dyDescent="0.25">
      <c r="A16" s="1" t="s">
        <v>110</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t="s">
        <v>37</v>
      </c>
      <c r="NA16" s="1"/>
      <c r="NB16" s="1"/>
      <c r="NC16" s="1"/>
      <c r="ND16" s="1"/>
      <c r="NE16" s="1"/>
      <c r="NF16" s="1"/>
      <c r="NG16" s="1"/>
      <c r="NH16" s="1"/>
      <c r="NI16" s="1"/>
      <c r="NJ16" s="1"/>
      <c r="NK16" s="18">
        <f t="array" aca="1" ref="NK16" ca="1">SUMPRODUCT((OFFSET($A16,0,1,1,372)&lt;&gt;"")*(IF(OFFSET($A16,0,1,1,372)=$NX$16,0.5,IF(OFFSET($A16,0,1,1,372)=$NX$17,0.5,1))*(OFFSET($A$3,0,1,1,372))))</f>
        <v>1</v>
      </c>
      <c r="NL16" s="23">
        <f t="shared" ca="1" si="6"/>
        <v>0</v>
      </c>
      <c r="NM16" s="23">
        <f t="shared" ca="1" si="6"/>
        <v>0</v>
      </c>
      <c r="NN16" s="23">
        <f t="shared" ca="1" si="6"/>
        <v>0</v>
      </c>
      <c r="NO16" s="23">
        <f t="shared" ca="1" si="6"/>
        <v>1</v>
      </c>
      <c r="NP16" s="23">
        <f t="shared" ca="1" si="6"/>
        <v>0</v>
      </c>
      <c r="NQ16" s="23">
        <f t="shared" ca="1" si="6"/>
        <v>0</v>
      </c>
      <c r="NR16" s="23">
        <f t="shared" ca="1" si="6"/>
        <v>0</v>
      </c>
      <c r="NS16" s="23">
        <f t="shared" ca="1" si="6"/>
        <v>0</v>
      </c>
      <c r="NT16" s="23">
        <f t="shared" ca="1" si="6"/>
        <v>0</v>
      </c>
      <c r="NU16" s="23">
        <f t="shared" ca="1" si="6"/>
        <v>0</v>
      </c>
      <c r="NW16" s="16" t="s">
        <v>42</v>
      </c>
      <c r="NX16" s="25" t="s">
        <v>35</v>
      </c>
    </row>
    <row r="17" spans="1:388" x14ac:dyDescent="0.25">
      <c r="A17" s="1" t="s">
        <v>111</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t="s">
        <v>37</v>
      </c>
      <c r="NA17" s="1"/>
      <c r="NB17" s="1"/>
      <c r="NC17" s="1"/>
      <c r="ND17" s="1"/>
      <c r="NE17" s="1"/>
      <c r="NF17" s="1"/>
      <c r="NG17" s="1"/>
      <c r="NH17" s="1"/>
      <c r="NI17" s="1"/>
      <c r="NJ17" s="1"/>
      <c r="NK17" s="18">
        <f t="array" aca="1" ref="NK17" ca="1">SUMPRODUCT((OFFSET($A17,0,1,1,372)&lt;&gt;"")*(IF(OFFSET($A17,0,1,1,372)=$NX$16,0.5,IF(OFFSET($A17,0,1,1,372)=$NX$17,0.5,1))*(OFFSET($A$3,0,1,1,372))))</f>
        <v>1</v>
      </c>
      <c r="NL17" s="23">
        <f t="shared" ca="1" si="6"/>
        <v>0</v>
      </c>
      <c r="NM17" s="23">
        <f t="shared" ca="1" si="6"/>
        <v>0</v>
      </c>
      <c r="NN17" s="23">
        <f t="shared" ca="1" si="6"/>
        <v>0</v>
      </c>
      <c r="NO17" s="23">
        <f t="shared" ca="1" si="6"/>
        <v>1</v>
      </c>
      <c r="NP17" s="23">
        <f t="shared" ca="1" si="6"/>
        <v>0</v>
      </c>
      <c r="NQ17" s="23">
        <f t="shared" ca="1" si="6"/>
        <v>0</v>
      </c>
      <c r="NR17" s="23">
        <f t="shared" ca="1" si="6"/>
        <v>0</v>
      </c>
      <c r="NS17" s="23">
        <f t="shared" ca="1" si="6"/>
        <v>0</v>
      </c>
      <c r="NT17" s="23">
        <f t="shared" ca="1" si="6"/>
        <v>0</v>
      </c>
      <c r="NU17" s="23">
        <f t="shared" ca="1" si="6"/>
        <v>0</v>
      </c>
      <c r="NW17" s="16" t="s">
        <v>43</v>
      </c>
      <c r="NX17" s="25" t="s">
        <v>36</v>
      </c>
    </row>
    <row r="18" spans="1:388" x14ac:dyDescent="0.25">
      <c r="A18" s="1" t="s">
        <v>112</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t="s">
        <v>37</v>
      </c>
      <c r="NA18" s="1"/>
      <c r="NB18" s="1"/>
      <c r="NC18" s="1"/>
      <c r="ND18" s="1"/>
      <c r="NE18" s="1"/>
      <c r="NF18" s="1"/>
      <c r="NG18" s="1"/>
      <c r="NH18" s="1"/>
      <c r="NI18" s="1"/>
      <c r="NJ18" s="1"/>
      <c r="NK18" s="18">
        <f t="array" aca="1" ref="NK18" ca="1">SUMPRODUCT((OFFSET($A18,0,1,1,372)&lt;&gt;"")*(IF(OFFSET($A18,0,1,1,372)=$NX$16,0.5,IF(OFFSET($A18,0,1,1,372)=$NX$17,0.5,1))*(OFFSET($A$3,0,1,1,372))))</f>
        <v>1</v>
      </c>
      <c r="NL18" s="23">
        <f t="shared" ref="NL18:NU26" ca="1" si="7">SUMPRODUCT((OFFSET($A18,0,1,1,372)&lt;&gt;"")*(OFFSET($A$3,0,1,1,372))*((OFFSET($A18,0,1,1,372))=NL$5))</f>
        <v>0</v>
      </c>
      <c r="NM18" s="23">
        <f t="shared" ca="1" si="7"/>
        <v>0</v>
      </c>
      <c r="NN18" s="23">
        <f t="shared" ca="1" si="7"/>
        <v>0</v>
      </c>
      <c r="NO18" s="23">
        <f t="shared" ca="1" si="7"/>
        <v>1</v>
      </c>
      <c r="NP18" s="23">
        <f t="shared" ca="1" si="7"/>
        <v>0</v>
      </c>
      <c r="NQ18" s="23">
        <f t="shared" ca="1" si="7"/>
        <v>0</v>
      </c>
      <c r="NR18" s="23">
        <f t="shared" ca="1" si="7"/>
        <v>0</v>
      </c>
      <c r="NS18" s="23">
        <f t="shared" ca="1" si="7"/>
        <v>0</v>
      </c>
      <c r="NT18" s="23">
        <f t="shared" ca="1" si="7"/>
        <v>0</v>
      </c>
      <c r="NU18" s="23">
        <f t="shared" ca="1" si="7"/>
        <v>0</v>
      </c>
    </row>
    <row r="19" spans="1:388" x14ac:dyDescent="0.25">
      <c r="A19" s="1" t="s">
        <v>113</v>
      </c>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t="s">
        <v>37</v>
      </c>
      <c r="NA19" s="1"/>
      <c r="NB19" s="1"/>
      <c r="NC19" s="1"/>
      <c r="ND19" s="1"/>
      <c r="NE19" s="1"/>
      <c r="NF19" s="1"/>
      <c r="NG19" s="1"/>
      <c r="NH19" s="1"/>
      <c r="NI19" s="1"/>
      <c r="NJ19" s="1"/>
      <c r="NK19" s="18">
        <f t="array" aca="1" ref="NK19" ca="1">SUMPRODUCT((OFFSET($A19,0,1,1,372)&lt;&gt;"")*(IF(OFFSET($A19,0,1,1,372)=$NX$16,0.5,IF(OFFSET($A19,0,1,1,372)=$NX$17,0.5,1))*(OFFSET($A$3,0,1,1,372))))</f>
        <v>1</v>
      </c>
      <c r="NL19" s="23">
        <f t="shared" ca="1" si="7"/>
        <v>0</v>
      </c>
      <c r="NM19" s="23">
        <f t="shared" ca="1" si="7"/>
        <v>0</v>
      </c>
      <c r="NN19" s="23">
        <f t="shared" ca="1" si="7"/>
        <v>0</v>
      </c>
      <c r="NO19" s="23">
        <f t="shared" ca="1" si="7"/>
        <v>1</v>
      </c>
      <c r="NP19" s="23">
        <f t="shared" ca="1" si="7"/>
        <v>0</v>
      </c>
      <c r="NQ19" s="23">
        <f t="shared" ca="1" si="7"/>
        <v>0</v>
      </c>
      <c r="NR19" s="23">
        <f t="shared" ca="1" si="7"/>
        <v>0</v>
      </c>
      <c r="NS19" s="23">
        <f t="shared" ca="1" si="7"/>
        <v>0</v>
      </c>
      <c r="NT19" s="23">
        <f t="shared" ca="1" si="7"/>
        <v>0</v>
      </c>
      <c r="NU19" s="23">
        <f t="shared" ca="1" si="7"/>
        <v>0</v>
      </c>
    </row>
    <row r="20" spans="1:388" x14ac:dyDescent="0.25">
      <c r="A20" s="1" t="s">
        <v>114</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t="s">
        <v>37</v>
      </c>
      <c r="NA20" s="1"/>
      <c r="NB20" s="1"/>
      <c r="NC20" s="1"/>
      <c r="ND20" s="1"/>
      <c r="NE20" s="1"/>
      <c r="NF20" s="1"/>
      <c r="NG20" s="1"/>
      <c r="NH20" s="1"/>
      <c r="NI20" s="1"/>
      <c r="NJ20" s="1"/>
      <c r="NK20" s="18">
        <f t="array" aca="1" ref="NK20" ca="1">SUMPRODUCT((OFFSET($A20,0,1,1,372)&lt;&gt;"")*(IF(OFFSET($A20,0,1,1,372)=$NX$16,0.5,IF(OFFSET($A20,0,1,1,372)=$NX$17,0.5,1))*(OFFSET($A$3,0,1,1,372))))</f>
        <v>1</v>
      </c>
      <c r="NL20" s="23">
        <f t="shared" ca="1" si="7"/>
        <v>0</v>
      </c>
      <c r="NM20" s="23">
        <f t="shared" ca="1" si="7"/>
        <v>0</v>
      </c>
      <c r="NN20" s="23">
        <f t="shared" ca="1" si="7"/>
        <v>0</v>
      </c>
      <c r="NO20" s="23">
        <f t="shared" ca="1" si="7"/>
        <v>1</v>
      </c>
      <c r="NP20" s="23">
        <f t="shared" ca="1" si="7"/>
        <v>0</v>
      </c>
      <c r="NQ20" s="23">
        <f t="shared" ca="1" si="7"/>
        <v>0</v>
      </c>
      <c r="NR20" s="23">
        <f t="shared" ca="1" si="7"/>
        <v>0</v>
      </c>
      <c r="NS20" s="23">
        <f t="shared" ca="1" si="7"/>
        <v>0</v>
      </c>
      <c r="NT20" s="23">
        <f t="shared" ca="1" si="7"/>
        <v>0</v>
      </c>
      <c r="NU20" s="23">
        <f t="shared" ca="1" si="7"/>
        <v>0</v>
      </c>
      <c r="NW20" s="15" t="s">
        <v>30</v>
      </c>
      <c r="NX20" s="15"/>
    </row>
    <row r="21" spans="1:388" x14ac:dyDescent="0.25">
      <c r="A21" s="1" t="s">
        <v>115</v>
      </c>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c r="LF21" s="1"/>
      <c r="LG21" s="1"/>
      <c r="LH21" s="1"/>
      <c r="LI21" s="1"/>
      <c r="LJ21" s="1"/>
      <c r="LK21" s="1"/>
      <c r="LL21" s="1"/>
      <c r="LM21" s="1"/>
      <c r="LN21" s="1"/>
      <c r="LO21" s="1"/>
      <c r="LP21" s="1"/>
      <c r="LQ21" s="1"/>
      <c r="LR21" s="1"/>
      <c r="LS21" s="1"/>
      <c r="LT21" s="1"/>
      <c r="LU21" s="1"/>
      <c r="LV21" s="1"/>
      <c r="LW21" s="1"/>
      <c r="LX21" s="1"/>
      <c r="LY21" s="1"/>
      <c r="LZ21" s="1"/>
      <c r="MA21" s="1"/>
      <c r="MB21" s="1"/>
      <c r="MC21" s="1"/>
      <c r="MD21" s="1"/>
      <c r="ME21" s="1"/>
      <c r="MF21" s="1"/>
      <c r="MG21" s="1"/>
      <c r="MH21" s="1"/>
      <c r="MI21" s="1"/>
      <c r="MJ21" s="1"/>
      <c r="MK21" s="1"/>
      <c r="ML21" s="1"/>
      <c r="MM21" s="1"/>
      <c r="MN21" s="1"/>
      <c r="MO21" s="1"/>
      <c r="MP21" s="1"/>
      <c r="MQ21" s="1"/>
      <c r="MR21" s="1"/>
      <c r="MS21" s="1"/>
      <c r="MT21" s="1"/>
      <c r="MU21" s="1"/>
      <c r="MV21" s="1"/>
      <c r="MW21" s="1"/>
      <c r="MX21" s="1"/>
      <c r="MY21" s="1"/>
      <c r="MZ21" s="1" t="s">
        <v>37</v>
      </c>
      <c r="NA21" s="1"/>
      <c r="NB21" s="1"/>
      <c r="NC21" s="1"/>
      <c r="ND21" s="1"/>
      <c r="NE21" s="1"/>
      <c r="NF21" s="1"/>
      <c r="NG21" s="1"/>
      <c r="NH21" s="1"/>
      <c r="NI21" s="1"/>
      <c r="NJ21" s="1"/>
      <c r="NK21" s="18">
        <f t="array" aca="1" ref="NK21" ca="1">SUMPRODUCT((OFFSET($A21,0,1,1,372)&lt;&gt;"")*(IF(OFFSET($A21,0,1,1,372)=$NX$16,0.5,IF(OFFSET($A21,0,1,1,372)=$NX$17,0.5,1))*(OFFSET($A$3,0,1,1,372))))</f>
        <v>1</v>
      </c>
      <c r="NL21" s="23">
        <f t="shared" ca="1" si="7"/>
        <v>0</v>
      </c>
      <c r="NM21" s="23">
        <f t="shared" ca="1" si="7"/>
        <v>0</v>
      </c>
      <c r="NN21" s="23">
        <f t="shared" ca="1" si="7"/>
        <v>0</v>
      </c>
      <c r="NO21" s="23">
        <f t="shared" ca="1" si="7"/>
        <v>1</v>
      </c>
      <c r="NP21" s="23">
        <f t="shared" ca="1" si="7"/>
        <v>0</v>
      </c>
      <c r="NQ21" s="23">
        <f t="shared" ca="1" si="7"/>
        <v>0</v>
      </c>
      <c r="NR21" s="23">
        <f t="shared" ca="1" si="7"/>
        <v>0</v>
      </c>
      <c r="NS21" s="23">
        <f t="shared" ca="1" si="7"/>
        <v>0</v>
      </c>
      <c r="NT21" s="23">
        <f t="shared" ca="1" si="7"/>
        <v>0</v>
      </c>
      <c r="NU21" s="23">
        <f t="shared" ca="1" si="7"/>
        <v>0</v>
      </c>
      <c r="NW21" s="14" t="s">
        <v>11</v>
      </c>
      <c r="NX21" s="14" t="s">
        <v>32</v>
      </c>
    </row>
    <row r="22" spans="1:388" x14ac:dyDescent="0.25">
      <c r="A22" s="1" t="s">
        <v>116</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t="s">
        <v>37</v>
      </c>
      <c r="NA22" s="1"/>
      <c r="NB22" s="1"/>
      <c r="NC22" s="1"/>
      <c r="ND22" s="1"/>
      <c r="NE22" s="1"/>
      <c r="NF22" s="1"/>
      <c r="NG22" s="1"/>
      <c r="NH22" s="1"/>
      <c r="NI22" s="1"/>
      <c r="NJ22" s="1"/>
      <c r="NK22" s="18">
        <f t="array" aca="1" ref="NK22" ca="1">SUMPRODUCT((OFFSET($A22,0,1,1,372)&lt;&gt;"")*(IF(OFFSET($A22,0,1,1,372)=$NX$16,0.5,IF(OFFSET($A22,0,1,1,372)=$NX$17,0.5,1))*(OFFSET($A$3,0,1,1,372))))</f>
        <v>1</v>
      </c>
      <c r="NL22" s="23">
        <f t="shared" ca="1" si="7"/>
        <v>0</v>
      </c>
      <c r="NM22" s="23">
        <f t="shared" ca="1" si="7"/>
        <v>0</v>
      </c>
      <c r="NN22" s="23">
        <f t="shared" ca="1" si="7"/>
        <v>0</v>
      </c>
      <c r="NO22" s="23">
        <f t="shared" ca="1" si="7"/>
        <v>1</v>
      </c>
      <c r="NP22" s="23">
        <f t="shared" ca="1" si="7"/>
        <v>0</v>
      </c>
      <c r="NQ22" s="23">
        <f t="shared" ca="1" si="7"/>
        <v>0</v>
      </c>
      <c r="NR22" s="23">
        <f t="shared" ca="1" si="7"/>
        <v>0</v>
      </c>
      <c r="NS22" s="23">
        <f t="shared" ca="1" si="7"/>
        <v>0</v>
      </c>
      <c r="NT22" s="23">
        <f t="shared" ca="1" si="7"/>
        <v>0</v>
      </c>
      <c r="NU22" s="23">
        <f t="shared" ca="1" si="7"/>
        <v>0</v>
      </c>
      <c r="NW22" s="14" t="s">
        <v>12</v>
      </c>
      <c r="NX22" s="14" t="s">
        <v>32</v>
      </c>
    </row>
    <row r="23" spans="1:388" x14ac:dyDescent="0.25">
      <c r="A23" s="1" t="s">
        <v>117</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c r="LF23" s="1"/>
      <c r="LG23" s="1"/>
      <c r="LH23" s="1"/>
      <c r="LI23" s="1"/>
      <c r="LJ23" s="1"/>
      <c r="LK23" s="1"/>
      <c r="LL23" s="1"/>
      <c r="LM23" s="1"/>
      <c r="LN23" s="1"/>
      <c r="LO23" s="1"/>
      <c r="LP23" s="1"/>
      <c r="LQ23" s="1"/>
      <c r="LR23" s="1"/>
      <c r="LS23" s="1"/>
      <c r="LT23" s="1"/>
      <c r="LU23" s="1"/>
      <c r="LV23" s="1"/>
      <c r="LW23" s="1"/>
      <c r="LX23" s="1"/>
      <c r="LY23" s="1"/>
      <c r="LZ23" s="1"/>
      <c r="MA23" s="1"/>
      <c r="MB23" s="1"/>
      <c r="MC23" s="1"/>
      <c r="MD23" s="1"/>
      <c r="ME23" s="1"/>
      <c r="MF23" s="1"/>
      <c r="MG23" s="1"/>
      <c r="MH23" s="1"/>
      <c r="MI23" s="1"/>
      <c r="MJ23" s="1"/>
      <c r="MK23" s="1"/>
      <c r="ML23" s="1"/>
      <c r="MM23" s="1"/>
      <c r="MN23" s="1"/>
      <c r="MO23" s="1"/>
      <c r="MP23" s="1"/>
      <c r="MQ23" s="1"/>
      <c r="MR23" s="1"/>
      <c r="MS23" s="1"/>
      <c r="MT23" s="1"/>
      <c r="MU23" s="1"/>
      <c r="MV23" s="1"/>
      <c r="MW23" s="1"/>
      <c r="MX23" s="1"/>
      <c r="MY23" s="1"/>
      <c r="MZ23" s="1" t="s">
        <v>37</v>
      </c>
      <c r="NA23" s="1"/>
      <c r="NB23" s="1"/>
      <c r="NC23" s="1"/>
      <c r="ND23" s="1"/>
      <c r="NE23" s="1"/>
      <c r="NF23" s="1"/>
      <c r="NG23" s="1"/>
      <c r="NH23" s="1"/>
      <c r="NI23" s="1"/>
      <c r="NJ23" s="1"/>
      <c r="NK23" s="18">
        <f t="array" aca="1" ref="NK23" ca="1">SUMPRODUCT((OFFSET($A23,0,1,1,372)&lt;&gt;"")*(IF(OFFSET($A23,0,1,1,372)=$NX$16,0.5,IF(OFFSET($A23,0,1,1,372)=$NX$17,0.5,1))*(OFFSET($A$3,0,1,1,372))))</f>
        <v>1</v>
      </c>
      <c r="NL23" s="23">
        <f t="shared" ca="1" si="7"/>
        <v>0</v>
      </c>
      <c r="NM23" s="23">
        <f t="shared" ca="1" si="7"/>
        <v>0</v>
      </c>
      <c r="NN23" s="23">
        <f t="shared" ca="1" si="7"/>
        <v>0</v>
      </c>
      <c r="NO23" s="23">
        <f t="shared" ca="1" si="7"/>
        <v>1</v>
      </c>
      <c r="NP23" s="23">
        <f t="shared" ca="1" si="7"/>
        <v>0</v>
      </c>
      <c r="NQ23" s="23">
        <f t="shared" ca="1" si="7"/>
        <v>0</v>
      </c>
      <c r="NR23" s="23">
        <f t="shared" ca="1" si="7"/>
        <v>0</v>
      </c>
      <c r="NS23" s="23">
        <f t="shared" ca="1" si="7"/>
        <v>0</v>
      </c>
      <c r="NT23" s="23">
        <f t="shared" ca="1" si="7"/>
        <v>0</v>
      </c>
      <c r="NU23" s="23">
        <f t="shared" ca="1" si="7"/>
        <v>0</v>
      </c>
      <c r="NW23" s="14" t="s">
        <v>13</v>
      </c>
      <c r="NX23" s="14" t="s">
        <v>32</v>
      </c>
    </row>
    <row r="24" spans="1:388" x14ac:dyDescent="0.25">
      <c r="A24" s="1" t="s">
        <v>118</v>
      </c>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c r="LF24" s="1"/>
      <c r="LG24" s="1"/>
      <c r="LH24" s="1"/>
      <c r="LI24" s="1"/>
      <c r="LJ24" s="1"/>
      <c r="LK24" s="1"/>
      <c r="LL24" s="1"/>
      <c r="LM24" s="1"/>
      <c r="LN24" s="1"/>
      <c r="LO24" s="1"/>
      <c r="LP24" s="1"/>
      <c r="LQ24" s="1"/>
      <c r="LR24" s="1"/>
      <c r="LS24" s="1"/>
      <c r="LT24" s="1"/>
      <c r="LU24" s="1"/>
      <c r="LV24" s="1"/>
      <c r="LW24" s="1"/>
      <c r="LX24" s="1"/>
      <c r="LY24" s="1"/>
      <c r="LZ24" s="1"/>
      <c r="MA24" s="1"/>
      <c r="MB24" s="1"/>
      <c r="MC24" s="1"/>
      <c r="MD24" s="1"/>
      <c r="ME24" s="1"/>
      <c r="MF24" s="1"/>
      <c r="MG24" s="1"/>
      <c r="MH24" s="1"/>
      <c r="MI24" s="1"/>
      <c r="MJ24" s="1"/>
      <c r="MK24" s="1"/>
      <c r="ML24" s="1"/>
      <c r="MM24" s="1"/>
      <c r="MN24" s="1"/>
      <c r="MO24" s="1"/>
      <c r="MP24" s="1"/>
      <c r="MQ24" s="1"/>
      <c r="MR24" s="1"/>
      <c r="MS24" s="1"/>
      <c r="MT24" s="1"/>
      <c r="MU24" s="1"/>
      <c r="MV24" s="1"/>
      <c r="MW24" s="1"/>
      <c r="MX24" s="1"/>
      <c r="MY24" s="1"/>
      <c r="MZ24" s="1" t="s">
        <v>37</v>
      </c>
      <c r="NA24" s="1"/>
      <c r="NB24" s="1"/>
      <c r="NC24" s="1"/>
      <c r="ND24" s="1"/>
      <c r="NE24" s="1"/>
      <c r="NF24" s="1"/>
      <c r="NG24" s="1"/>
      <c r="NH24" s="1"/>
      <c r="NI24" s="1"/>
      <c r="NJ24" s="1"/>
      <c r="NK24" s="18">
        <f t="array" aca="1" ref="NK24" ca="1">SUMPRODUCT((OFFSET($A24,0,1,1,372)&lt;&gt;"")*(IF(OFFSET($A24,0,1,1,372)=$NX$16,0.5,IF(OFFSET($A24,0,1,1,372)=$NX$17,0.5,1))*(OFFSET($A$3,0,1,1,372))))</f>
        <v>1</v>
      </c>
      <c r="NL24" s="23">
        <f t="shared" ca="1" si="7"/>
        <v>0</v>
      </c>
      <c r="NM24" s="23">
        <f t="shared" ca="1" si="7"/>
        <v>0</v>
      </c>
      <c r="NN24" s="23">
        <f t="shared" ca="1" si="7"/>
        <v>0</v>
      </c>
      <c r="NO24" s="23">
        <f t="shared" ca="1" si="7"/>
        <v>1</v>
      </c>
      <c r="NP24" s="23">
        <f t="shared" ca="1" si="7"/>
        <v>0</v>
      </c>
      <c r="NQ24" s="23">
        <f t="shared" ca="1" si="7"/>
        <v>0</v>
      </c>
      <c r="NR24" s="23">
        <f t="shared" ca="1" si="7"/>
        <v>0</v>
      </c>
      <c r="NS24" s="23">
        <f t="shared" ca="1" si="7"/>
        <v>0</v>
      </c>
      <c r="NT24" s="23">
        <f t="shared" ca="1" si="7"/>
        <v>0</v>
      </c>
      <c r="NU24" s="23">
        <f t="shared" ca="1" si="7"/>
        <v>0</v>
      </c>
      <c r="NW24" s="14" t="s">
        <v>14</v>
      </c>
      <c r="NX24" s="14" t="s">
        <v>32</v>
      </c>
    </row>
    <row r="25" spans="1:388" x14ac:dyDescent="0.25">
      <c r="A25" s="1" t="s">
        <v>119</v>
      </c>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c r="LF25" s="1"/>
      <c r="LG25" s="1"/>
      <c r="LH25" s="1"/>
      <c r="LI25" s="1"/>
      <c r="LJ25" s="1"/>
      <c r="LK25" s="1"/>
      <c r="LL25" s="1"/>
      <c r="LM25" s="1"/>
      <c r="LN25" s="1"/>
      <c r="LO25" s="1"/>
      <c r="LP25" s="1"/>
      <c r="LQ25" s="1"/>
      <c r="LR25" s="1"/>
      <c r="LS25" s="1"/>
      <c r="LT25" s="1"/>
      <c r="LU25" s="1"/>
      <c r="LV25" s="1"/>
      <c r="LW25" s="1"/>
      <c r="LX25" s="1"/>
      <c r="LY25" s="1"/>
      <c r="LZ25" s="1"/>
      <c r="MA25" s="1"/>
      <c r="MB25" s="1"/>
      <c r="MC25" s="1"/>
      <c r="MD25" s="1"/>
      <c r="ME25" s="1"/>
      <c r="MF25" s="1"/>
      <c r="MG25" s="1"/>
      <c r="MH25" s="1"/>
      <c r="MI25" s="1"/>
      <c r="MJ25" s="1"/>
      <c r="MK25" s="1"/>
      <c r="ML25" s="1"/>
      <c r="MM25" s="1"/>
      <c r="MN25" s="1"/>
      <c r="MO25" s="1"/>
      <c r="MP25" s="1"/>
      <c r="MQ25" s="1"/>
      <c r="MR25" s="1"/>
      <c r="MS25" s="1"/>
      <c r="MT25" s="1"/>
      <c r="MU25" s="1"/>
      <c r="MV25" s="1"/>
      <c r="MW25" s="1"/>
      <c r="MX25" s="1"/>
      <c r="MY25" s="1"/>
      <c r="MZ25" s="1" t="s">
        <v>190</v>
      </c>
      <c r="NA25" s="1"/>
      <c r="NB25" s="1"/>
      <c r="NC25" s="1"/>
      <c r="ND25" s="1"/>
      <c r="NE25" s="1"/>
      <c r="NF25" s="1"/>
      <c r="NG25" s="1"/>
      <c r="NH25" s="1"/>
      <c r="NI25" s="1"/>
      <c r="NJ25" s="1"/>
      <c r="NK25" s="18">
        <f t="array" aca="1" ref="NK25" ca="1">SUMPRODUCT((OFFSET($A25,0,1,1,372)&lt;&gt;"")*(IF(OFFSET($A25,0,1,1,372)=$NX$16,0.5,IF(OFFSET($A25,0,1,1,372)=$NX$17,0.5,1))*(OFFSET($A$3,0,1,1,372))))</f>
        <v>1</v>
      </c>
      <c r="NL25" s="23">
        <f t="shared" ca="1" si="7"/>
        <v>0</v>
      </c>
      <c r="NM25" s="23">
        <f t="shared" ca="1" si="7"/>
        <v>0</v>
      </c>
      <c r="NN25" s="23">
        <f t="shared" ca="1" si="7"/>
        <v>0</v>
      </c>
      <c r="NO25" s="23">
        <f t="shared" ca="1" si="7"/>
        <v>0</v>
      </c>
      <c r="NP25" s="23">
        <f t="shared" ca="1" si="7"/>
        <v>0</v>
      </c>
      <c r="NQ25" s="23">
        <f t="shared" ca="1" si="7"/>
        <v>0</v>
      </c>
      <c r="NR25" s="23">
        <f t="shared" ca="1" si="7"/>
        <v>0</v>
      </c>
      <c r="NS25" s="23">
        <f t="shared" ca="1" si="7"/>
        <v>0</v>
      </c>
      <c r="NT25" s="23">
        <f t="shared" ca="1" si="7"/>
        <v>0</v>
      </c>
      <c r="NU25" s="23">
        <f t="shared" ca="1" si="7"/>
        <v>0</v>
      </c>
      <c r="NW25" s="14" t="s">
        <v>15</v>
      </c>
      <c r="NX25" s="14" t="s">
        <v>32</v>
      </c>
    </row>
    <row r="26" spans="1:388" x14ac:dyDescent="0.25">
      <c r="A26" s="1" t="s">
        <v>120</v>
      </c>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c r="LF26" s="1"/>
      <c r="LG26" s="1"/>
      <c r="LH26" s="1"/>
      <c r="LI26" s="1"/>
      <c r="LJ26" s="1"/>
      <c r="LK26" s="1"/>
      <c r="LL26" s="1"/>
      <c r="LM26" s="1"/>
      <c r="LN26" s="1"/>
      <c r="LO26" s="1"/>
      <c r="LP26" s="1"/>
      <c r="LQ26" s="1"/>
      <c r="LR26" s="1"/>
      <c r="LS26" s="1"/>
      <c r="LT26" s="1"/>
      <c r="LU26" s="1"/>
      <c r="LV26" s="1"/>
      <c r="LW26" s="1"/>
      <c r="LX26" s="1"/>
      <c r="LY26" s="1"/>
      <c r="LZ26" s="1"/>
      <c r="MA26" s="1"/>
      <c r="MB26" s="1"/>
      <c r="MC26" s="1"/>
      <c r="MD26" s="1"/>
      <c r="ME26" s="1"/>
      <c r="MF26" s="1"/>
      <c r="MG26" s="1"/>
      <c r="MH26" s="1"/>
      <c r="MI26" s="1"/>
      <c r="MJ26" s="1"/>
      <c r="MK26" s="1"/>
      <c r="ML26" s="1"/>
      <c r="MM26" s="1"/>
      <c r="MN26" s="1"/>
      <c r="MO26" s="1"/>
      <c r="MP26" s="1"/>
      <c r="MQ26" s="1"/>
      <c r="MR26" s="1"/>
      <c r="MS26" s="1"/>
      <c r="MT26" s="1"/>
      <c r="MU26" s="1"/>
      <c r="MV26" s="1"/>
      <c r="MW26" s="1"/>
      <c r="MX26" s="1"/>
      <c r="MY26" s="1"/>
      <c r="MZ26" s="1" t="s">
        <v>37</v>
      </c>
      <c r="NA26" s="1"/>
      <c r="NB26" s="1"/>
      <c r="NC26" s="1"/>
      <c r="ND26" s="1"/>
      <c r="NE26" s="1"/>
      <c r="NF26" s="1"/>
      <c r="NG26" s="1"/>
      <c r="NH26" s="1"/>
      <c r="NI26" s="1"/>
      <c r="NJ26" s="1"/>
      <c r="NK26" s="18">
        <f t="array" aca="1" ref="NK26" ca="1">SUMPRODUCT((OFFSET($A26,0,1,1,372)&lt;&gt;"")*(IF(OFFSET($A26,0,1,1,372)=$NX$16,0.5,IF(OFFSET($A26,0,1,1,372)=$NX$17,0.5,1))*(OFFSET($A$3,0,1,1,372))))</f>
        <v>1</v>
      </c>
      <c r="NL26" s="23">
        <f t="shared" ca="1" si="7"/>
        <v>0</v>
      </c>
      <c r="NM26" s="23">
        <f t="shared" ca="1" si="7"/>
        <v>0</v>
      </c>
      <c r="NN26" s="23">
        <f t="shared" ca="1" si="7"/>
        <v>0</v>
      </c>
      <c r="NO26" s="23">
        <f t="shared" ca="1" si="7"/>
        <v>1</v>
      </c>
      <c r="NP26" s="23">
        <f t="shared" ca="1" si="7"/>
        <v>0</v>
      </c>
      <c r="NQ26" s="23">
        <f t="shared" ca="1" si="7"/>
        <v>0</v>
      </c>
      <c r="NR26" s="23">
        <f t="shared" ca="1" si="7"/>
        <v>0</v>
      </c>
      <c r="NS26" s="23">
        <f t="shared" ca="1" si="7"/>
        <v>0</v>
      </c>
      <c r="NT26" s="23">
        <f t="shared" ca="1" si="7"/>
        <v>0</v>
      </c>
      <c r="NU26" s="23">
        <f t="shared" ca="1" si="7"/>
        <v>0</v>
      </c>
      <c r="NW26" s="14" t="s">
        <v>16</v>
      </c>
      <c r="NX26" s="14" t="s">
        <v>31</v>
      </c>
    </row>
    <row r="27" spans="1:388" x14ac:dyDescent="0.25">
      <c r="A27" s="1" t="s">
        <v>121</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c r="KT27" s="1"/>
      <c r="KU27" s="1"/>
      <c r="KV27" s="1"/>
      <c r="KW27" s="1"/>
      <c r="KX27" s="1"/>
      <c r="KY27" s="1"/>
      <c r="KZ27" s="1"/>
      <c r="LA27" s="1"/>
      <c r="LB27" s="1"/>
      <c r="LC27" s="1"/>
      <c r="LD27" s="1"/>
      <c r="LE27" s="1"/>
      <c r="LF27" s="1"/>
      <c r="LG27" s="1"/>
      <c r="LH27" s="1"/>
      <c r="LI27" s="1"/>
      <c r="LJ27" s="1"/>
      <c r="LK27" s="1"/>
      <c r="LL27" s="1"/>
      <c r="LM27" s="1"/>
      <c r="LN27" s="1"/>
      <c r="LO27" s="1"/>
      <c r="LP27" s="1"/>
      <c r="LQ27" s="1"/>
      <c r="LR27" s="1"/>
      <c r="LS27" s="1"/>
      <c r="LT27" s="1"/>
      <c r="LU27" s="1"/>
      <c r="LV27" s="1"/>
      <c r="LW27" s="1"/>
      <c r="LX27" s="1"/>
      <c r="LY27" s="1"/>
      <c r="LZ27" s="1"/>
      <c r="MA27" s="1"/>
      <c r="MB27" s="1"/>
      <c r="MC27" s="1"/>
      <c r="MD27" s="1"/>
      <c r="ME27" s="1"/>
      <c r="MF27" s="1"/>
      <c r="MG27" s="1"/>
      <c r="MH27" s="1"/>
      <c r="MI27" s="1"/>
      <c r="MJ27" s="1"/>
      <c r="MK27" s="1"/>
      <c r="ML27" s="1"/>
      <c r="MM27" s="1"/>
      <c r="MN27" s="1"/>
      <c r="MO27" s="1"/>
      <c r="MP27" s="1"/>
      <c r="MQ27" s="1"/>
      <c r="MR27" s="1"/>
      <c r="MS27" s="1"/>
      <c r="MT27" s="1"/>
      <c r="MU27" s="1"/>
      <c r="MV27" s="1"/>
      <c r="MW27" s="1"/>
      <c r="MX27" s="1"/>
      <c r="MY27" s="1"/>
      <c r="MZ27" s="1" t="s">
        <v>37</v>
      </c>
      <c r="NA27" s="1"/>
      <c r="NB27" s="1"/>
      <c r="NC27" s="1"/>
      <c r="ND27" s="1"/>
      <c r="NE27" s="1"/>
      <c r="NF27" s="1"/>
      <c r="NG27" s="1"/>
      <c r="NH27" s="1"/>
      <c r="NI27" s="1"/>
      <c r="NJ27" s="1"/>
      <c r="NK27" s="18">
        <f t="array" aca="1" ref="NK27" ca="1">SUMPRODUCT((OFFSET($A27,0,1,1,372)&lt;&gt;"")*(IF(OFFSET($A27,0,1,1,372)=$NX$16,0.5,IF(OFFSET($A27,0,1,1,372)=$NX$17,0.5,1))*(OFFSET($A$3,0,1,1,372))))</f>
        <v>1</v>
      </c>
      <c r="NL27" s="23"/>
      <c r="NM27" s="23"/>
      <c r="NN27" s="23"/>
      <c r="NO27" s="23"/>
      <c r="NP27" s="23"/>
      <c r="NQ27" s="23"/>
      <c r="NR27" s="23"/>
      <c r="NS27" s="23"/>
      <c r="NT27" s="23"/>
      <c r="NU27" s="23"/>
      <c r="NW27" s="14"/>
      <c r="NX27" s="14"/>
    </row>
    <row r="28" spans="1:388" x14ac:dyDescent="0.25">
      <c r="A28" s="1" t="s">
        <v>122</v>
      </c>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c r="KT28" s="1"/>
      <c r="KU28" s="1"/>
      <c r="KV28" s="1"/>
      <c r="KW28" s="1"/>
      <c r="KX28" s="1"/>
      <c r="KY28" s="1"/>
      <c r="KZ28" s="1"/>
      <c r="LA28" s="1"/>
      <c r="LB28" s="1"/>
      <c r="LC28" s="1"/>
      <c r="LD28" s="1"/>
      <c r="LE28" s="1"/>
      <c r="LF28" s="1"/>
      <c r="LG28" s="1"/>
      <c r="LH28" s="1"/>
      <c r="LI28" s="1"/>
      <c r="LJ28" s="1"/>
      <c r="LK28" s="1"/>
      <c r="LL28" s="1"/>
      <c r="LM28" s="1"/>
      <c r="LN28" s="1"/>
      <c r="LO28" s="1"/>
      <c r="LP28" s="1"/>
      <c r="LQ28" s="1"/>
      <c r="LR28" s="1"/>
      <c r="LS28" s="1"/>
      <c r="LT28" s="1"/>
      <c r="LU28" s="1"/>
      <c r="LV28" s="1"/>
      <c r="LW28" s="1"/>
      <c r="LX28" s="1"/>
      <c r="LY28" s="1"/>
      <c r="LZ28" s="1"/>
      <c r="MA28" s="1"/>
      <c r="MB28" s="1"/>
      <c r="MC28" s="1"/>
      <c r="MD28" s="1"/>
      <c r="ME28" s="1"/>
      <c r="MF28" s="1"/>
      <c r="MG28" s="1"/>
      <c r="MH28" s="1"/>
      <c r="MI28" s="1"/>
      <c r="MJ28" s="1"/>
      <c r="MK28" s="1"/>
      <c r="ML28" s="1"/>
      <c r="MM28" s="1"/>
      <c r="MN28" s="1"/>
      <c r="MO28" s="1"/>
      <c r="MP28" s="1"/>
      <c r="MQ28" s="1"/>
      <c r="MR28" s="1"/>
      <c r="MS28" s="1"/>
      <c r="MT28" s="1"/>
      <c r="MU28" s="1"/>
      <c r="MV28" s="1"/>
      <c r="MW28" s="1"/>
      <c r="MX28" s="1"/>
      <c r="MY28" s="1"/>
      <c r="MZ28" s="1" t="s">
        <v>37</v>
      </c>
      <c r="NA28" s="1"/>
      <c r="NB28" s="1"/>
      <c r="NC28" s="1"/>
      <c r="ND28" s="1"/>
      <c r="NE28" s="1"/>
      <c r="NF28" s="1"/>
      <c r="NG28" s="1"/>
      <c r="NH28" s="1"/>
      <c r="NI28" s="1"/>
      <c r="NJ28" s="1"/>
      <c r="NK28" s="18">
        <f t="array" aca="1" ref="NK28" ca="1">SUMPRODUCT((OFFSET($A28,0,1,1,372)&lt;&gt;"")*(IF(OFFSET($A28,0,1,1,372)=$NX$16,0.5,IF(OFFSET($A28,0,1,1,372)=$NX$17,0.5,1))*(OFFSET($A$3,0,1,1,372))))</f>
        <v>1</v>
      </c>
      <c r="NL28" s="23"/>
      <c r="NM28" s="23"/>
      <c r="NN28" s="23"/>
      <c r="NO28" s="23"/>
      <c r="NP28" s="23"/>
      <c r="NQ28" s="23"/>
      <c r="NR28" s="23"/>
      <c r="NS28" s="23"/>
      <c r="NT28" s="23"/>
      <c r="NU28" s="23"/>
      <c r="NW28" s="14"/>
      <c r="NX28" s="14"/>
    </row>
    <row r="29" spans="1:388" x14ac:dyDescent="0.25">
      <c r="A29" s="1" t="s">
        <v>123</v>
      </c>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c r="KT29" s="1"/>
      <c r="KU29" s="1"/>
      <c r="KV29" s="1"/>
      <c r="KW29" s="1"/>
      <c r="KX29" s="1"/>
      <c r="KY29" s="1"/>
      <c r="KZ29" s="1"/>
      <c r="LA29" s="1"/>
      <c r="LB29" s="1"/>
      <c r="LC29" s="1"/>
      <c r="LD29" s="1"/>
      <c r="LE29" s="1"/>
      <c r="LF29" s="1"/>
      <c r="LG29" s="1"/>
      <c r="LH29" s="1"/>
      <c r="LI29" s="1"/>
      <c r="LJ29" s="1"/>
      <c r="LK29" s="1"/>
      <c r="LL29" s="1"/>
      <c r="LM29" s="1"/>
      <c r="LN29" s="1"/>
      <c r="LO29" s="1"/>
      <c r="LP29" s="1"/>
      <c r="LQ29" s="1"/>
      <c r="LR29" s="1"/>
      <c r="LS29" s="1"/>
      <c r="LT29" s="1"/>
      <c r="LU29" s="1"/>
      <c r="LV29" s="1"/>
      <c r="LW29" s="1"/>
      <c r="LX29" s="1"/>
      <c r="LY29" s="1"/>
      <c r="LZ29" s="1"/>
      <c r="MA29" s="1"/>
      <c r="MB29" s="1"/>
      <c r="MC29" s="1"/>
      <c r="MD29" s="1"/>
      <c r="ME29" s="1"/>
      <c r="MF29" s="1"/>
      <c r="MG29" s="1"/>
      <c r="MH29" s="1"/>
      <c r="MI29" s="1"/>
      <c r="MJ29" s="1"/>
      <c r="MK29" s="1"/>
      <c r="ML29" s="1"/>
      <c r="MM29" s="1"/>
      <c r="MN29" s="1"/>
      <c r="MO29" s="1"/>
      <c r="MP29" s="1"/>
      <c r="MQ29" s="1"/>
      <c r="MR29" s="1"/>
      <c r="MS29" s="1"/>
      <c r="MT29" s="1"/>
      <c r="MU29" s="1"/>
      <c r="MV29" s="1"/>
      <c r="MW29" s="1"/>
      <c r="MX29" s="1"/>
      <c r="MY29" s="1"/>
      <c r="MZ29" s="1" t="s">
        <v>37</v>
      </c>
      <c r="NA29" s="1"/>
      <c r="NB29" s="1"/>
      <c r="NC29" s="1"/>
      <c r="ND29" s="1"/>
      <c r="NE29" s="1"/>
      <c r="NF29" s="1"/>
      <c r="NG29" s="1"/>
      <c r="NH29" s="1"/>
      <c r="NI29" s="1"/>
      <c r="NJ29" s="1"/>
      <c r="NK29" s="18">
        <f t="array" aca="1" ref="NK29" ca="1">SUMPRODUCT((OFFSET($A29,0,1,1,372)&lt;&gt;"")*(IF(OFFSET($A29,0,1,1,372)=$NX$16,0.5,IF(OFFSET($A29,0,1,1,372)=$NX$17,0.5,1))*(OFFSET($A$3,0,1,1,372))))</f>
        <v>1</v>
      </c>
      <c r="NL29" s="23"/>
      <c r="NM29" s="23"/>
      <c r="NN29" s="23"/>
      <c r="NO29" s="23"/>
      <c r="NP29" s="23"/>
      <c r="NQ29" s="23"/>
      <c r="NR29" s="23"/>
      <c r="NS29" s="23"/>
      <c r="NT29" s="23"/>
      <c r="NU29" s="23"/>
      <c r="NW29" s="14"/>
      <c r="NX29" s="14"/>
    </row>
    <row r="30" spans="1:388" x14ac:dyDescent="0.25">
      <c r="A30" s="1" t="s">
        <v>124</v>
      </c>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c r="KT30" s="1"/>
      <c r="KU30" s="1"/>
      <c r="KV30" s="1"/>
      <c r="KW30" s="1"/>
      <c r="KX30" s="1"/>
      <c r="KY30" s="1"/>
      <c r="KZ30" s="1"/>
      <c r="LA30" s="1"/>
      <c r="LB30" s="1"/>
      <c r="LC30" s="1"/>
      <c r="LD30" s="1"/>
      <c r="LE30" s="1"/>
      <c r="LF30" s="1"/>
      <c r="LG30" s="1"/>
      <c r="LH30" s="1"/>
      <c r="LI30" s="1"/>
      <c r="LJ30" s="1"/>
      <c r="LK30" s="1"/>
      <c r="LL30" s="1"/>
      <c r="LM30" s="1"/>
      <c r="LN30" s="1"/>
      <c r="LO30" s="1"/>
      <c r="LP30" s="1"/>
      <c r="LQ30" s="1"/>
      <c r="LR30" s="1"/>
      <c r="LS30" s="1"/>
      <c r="LT30" s="1"/>
      <c r="LU30" s="1"/>
      <c r="LV30" s="1"/>
      <c r="LW30" s="1"/>
      <c r="LX30" s="1"/>
      <c r="LY30" s="1"/>
      <c r="LZ30" s="1"/>
      <c r="MA30" s="1"/>
      <c r="MB30" s="1"/>
      <c r="MC30" s="1"/>
      <c r="MD30" s="1"/>
      <c r="ME30" s="1"/>
      <c r="MF30" s="1"/>
      <c r="MG30" s="1"/>
      <c r="MH30" s="1"/>
      <c r="MI30" s="1"/>
      <c r="MJ30" s="1"/>
      <c r="MK30" s="1"/>
      <c r="ML30" s="1"/>
      <c r="MM30" s="1"/>
      <c r="MN30" s="1"/>
      <c r="MO30" s="1"/>
      <c r="MP30" s="1"/>
      <c r="MQ30" s="1"/>
      <c r="MR30" s="1"/>
      <c r="MS30" s="1"/>
      <c r="MT30" s="1"/>
      <c r="MU30" s="1"/>
      <c r="MV30" s="1"/>
      <c r="MW30" s="1"/>
      <c r="MX30" s="1"/>
      <c r="MY30" s="1"/>
      <c r="MZ30" s="1" t="s">
        <v>37</v>
      </c>
      <c r="NA30" s="1"/>
      <c r="NB30" s="1"/>
      <c r="NC30" s="1"/>
      <c r="ND30" s="1"/>
      <c r="NE30" s="1"/>
      <c r="NF30" s="1"/>
      <c r="NG30" s="1"/>
      <c r="NH30" s="1"/>
      <c r="NI30" s="1"/>
      <c r="NJ30" s="1"/>
      <c r="NK30" s="18">
        <f t="array" aca="1" ref="NK30" ca="1">SUMPRODUCT((OFFSET($A30,0,1,1,372)&lt;&gt;"")*(IF(OFFSET($A30,0,1,1,372)=$NX$16,0.5,IF(OFFSET($A30,0,1,1,372)=$NX$17,0.5,1))*(OFFSET($A$3,0,1,1,372))))</f>
        <v>1</v>
      </c>
      <c r="NL30" s="23"/>
      <c r="NM30" s="23"/>
      <c r="NN30" s="23"/>
      <c r="NO30" s="23"/>
      <c r="NP30" s="23"/>
      <c r="NQ30" s="23"/>
      <c r="NR30" s="23"/>
      <c r="NS30" s="23"/>
      <c r="NT30" s="23"/>
      <c r="NU30" s="23"/>
      <c r="NW30" s="14"/>
      <c r="NX30" s="14"/>
    </row>
    <row r="31" spans="1:388" x14ac:dyDescent="0.25">
      <c r="A31" s="1" t="s">
        <v>125</v>
      </c>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c r="KT31" s="1"/>
      <c r="KU31" s="1"/>
      <c r="KV31" s="1"/>
      <c r="KW31" s="1"/>
      <c r="KX31" s="1"/>
      <c r="KY31" s="1"/>
      <c r="KZ31" s="1"/>
      <c r="LA31" s="1"/>
      <c r="LB31" s="1"/>
      <c r="LC31" s="1"/>
      <c r="LD31" s="1"/>
      <c r="LE31" s="1"/>
      <c r="LF31" s="1"/>
      <c r="LG31" s="1"/>
      <c r="LH31" s="1"/>
      <c r="LI31" s="1"/>
      <c r="LJ31" s="1"/>
      <c r="LK31" s="1"/>
      <c r="LL31" s="1"/>
      <c r="LM31" s="1"/>
      <c r="LN31" s="1"/>
      <c r="LO31" s="1"/>
      <c r="LP31" s="1"/>
      <c r="LQ31" s="1"/>
      <c r="LR31" s="1"/>
      <c r="LS31" s="1"/>
      <c r="LT31" s="1"/>
      <c r="LU31" s="1"/>
      <c r="LV31" s="1"/>
      <c r="LW31" s="1"/>
      <c r="LX31" s="1"/>
      <c r="LY31" s="1"/>
      <c r="LZ31" s="1"/>
      <c r="MA31" s="1"/>
      <c r="MB31" s="1"/>
      <c r="MC31" s="1"/>
      <c r="MD31" s="1"/>
      <c r="ME31" s="1"/>
      <c r="MF31" s="1"/>
      <c r="MG31" s="1"/>
      <c r="MH31" s="1"/>
      <c r="MI31" s="1"/>
      <c r="MJ31" s="1"/>
      <c r="MK31" s="1"/>
      <c r="ML31" s="1"/>
      <c r="MM31" s="1"/>
      <c r="MN31" s="1"/>
      <c r="MO31" s="1"/>
      <c r="MP31" s="1"/>
      <c r="MQ31" s="1"/>
      <c r="MR31" s="1"/>
      <c r="MS31" s="1"/>
      <c r="MT31" s="1"/>
      <c r="MU31" s="1"/>
      <c r="MV31" s="1"/>
      <c r="MW31" s="1"/>
      <c r="MX31" s="1"/>
      <c r="MY31" s="1"/>
      <c r="MZ31" s="1" t="s">
        <v>37</v>
      </c>
      <c r="NA31" s="1"/>
      <c r="NB31" s="1"/>
      <c r="NC31" s="1"/>
      <c r="ND31" s="1"/>
      <c r="NE31" s="1"/>
      <c r="NF31" s="1"/>
      <c r="NG31" s="1"/>
      <c r="NH31" s="1"/>
      <c r="NI31" s="1"/>
      <c r="NJ31" s="1"/>
      <c r="NK31" s="18">
        <f t="array" aca="1" ref="NK31" ca="1">SUMPRODUCT((OFFSET($A31,0,1,1,372)&lt;&gt;"")*(IF(OFFSET($A31,0,1,1,372)=$NX$16,0.5,IF(OFFSET($A31,0,1,1,372)=$NX$17,0.5,1))*(OFFSET($A$3,0,1,1,372))))</f>
        <v>1</v>
      </c>
      <c r="NL31" s="23"/>
      <c r="NM31" s="23"/>
      <c r="NN31" s="23"/>
      <c r="NO31" s="23"/>
      <c r="NP31" s="23"/>
      <c r="NQ31" s="23"/>
      <c r="NR31" s="23"/>
      <c r="NS31" s="23"/>
      <c r="NT31" s="23"/>
      <c r="NU31" s="23"/>
      <c r="NW31" s="14"/>
      <c r="NX31" s="14"/>
    </row>
    <row r="32" spans="1:388" x14ac:dyDescent="0.25">
      <c r="A32" s="1" t="s">
        <v>126</v>
      </c>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c r="KT32" s="1"/>
      <c r="KU32" s="1"/>
      <c r="KV32" s="1"/>
      <c r="KW32" s="1"/>
      <c r="KX32" s="1"/>
      <c r="KY32" s="1"/>
      <c r="KZ32" s="1"/>
      <c r="LA32" s="1"/>
      <c r="LB32" s="1"/>
      <c r="LC32" s="1"/>
      <c r="LD32" s="1"/>
      <c r="LE32" s="1"/>
      <c r="LF32" s="1"/>
      <c r="LG32" s="1"/>
      <c r="LH32" s="1"/>
      <c r="LI32" s="1"/>
      <c r="LJ32" s="1"/>
      <c r="LK32" s="1"/>
      <c r="LL32" s="1"/>
      <c r="LM32" s="1"/>
      <c r="LN32" s="1"/>
      <c r="LO32" s="1"/>
      <c r="LP32" s="1"/>
      <c r="LQ32" s="1"/>
      <c r="LR32" s="1"/>
      <c r="LS32" s="1"/>
      <c r="LT32" s="1"/>
      <c r="LU32" s="1"/>
      <c r="LV32" s="1"/>
      <c r="LW32" s="1"/>
      <c r="LX32" s="1"/>
      <c r="LY32" s="1"/>
      <c r="LZ32" s="1"/>
      <c r="MA32" s="1"/>
      <c r="MB32" s="1"/>
      <c r="MC32" s="1"/>
      <c r="MD32" s="1"/>
      <c r="ME32" s="1"/>
      <c r="MF32" s="1"/>
      <c r="MG32" s="1"/>
      <c r="MH32" s="1"/>
      <c r="MI32" s="1"/>
      <c r="MJ32" s="1"/>
      <c r="MK32" s="1"/>
      <c r="ML32" s="1"/>
      <c r="MM32" s="1"/>
      <c r="MN32" s="1"/>
      <c r="MO32" s="1"/>
      <c r="MP32" s="1"/>
      <c r="MQ32" s="1"/>
      <c r="MR32" s="1"/>
      <c r="MS32" s="1"/>
      <c r="MT32" s="1"/>
      <c r="MU32" s="1"/>
      <c r="MV32" s="1"/>
      <c r="MW32" s="1"/>
      <c r="MX32" s="1"/>
      <c r="MY32" s="1"/>
      <c r="MZ32" s="1" t="s">
        <v>37</v>
      </c>
      <c r="NA32" s="1"/>
      <c r="NB32" s="1"/>
      <c r="NC32" s="1"/>
      <c r="ND32" s="1"/>
      <c r="NE32" s="1"/>
      <c r="NF32" s="1"/>
      <c r="NG32" s="1"/>
      <c r="NH32" s="1"/>
      <c r="NI32" s="1"/>
      <c r="NJ32" s="1"/>
      <c r="NK32" s="18">
        <f t="array" aca="1" ref="NK32" ca="1">SUMPRODUCT((OFFSET($A32,0,1,1,372)&lt;&gt;"")*(IF(OFFSET($A32,0,1,1,372)=$NX$16,0.5,IF(OFFSET($A32,0,1,1,372)=$NX$17,0.5,1))*(OFFSET($A$3,0,1,1,372))))</f>
        <v>1</v>
      </c>
      <c r="NL32" s="23"/>
      <c r="NM32" s="23"/>
      <c r="NN32" s="23"/>
      <c r="NO32" s="23"/>
      <c r="NP32" s="23"/>
      <c r="NQ32" s="23"/>
      <c r="NR32" s="23"/>
      <c r="NS32" s="23"/>
      <c r="NT32" s="23"/>
      <c r="NU32" s="23"/>
      <c r="NW32" s="14"/>
      <c r="NX32" s="14"/>
    </row>
    <row r="33" spans="1:388" x14ac:dyDescent="0.25">
      <c r="A33" s="1" t="s">
        <v>127</v>
      </c>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t="s">
        <v>37</v>
      </c>
      <c r="NA33" s="1"/>
      <c r="NB33" s="1"/>
      <c r="NC33" s="1"/>
      <c r="ND33" s="1"/>
      <c r="NE33" s="1"/>
      <c r="NF33" s="1"/>
      <c r="NG33" s="1"/>
      <c r="NH33" s="1"/>
      <c r="NI33" s="1"/>
      <c r="NJ33" s="1"/>
      <c r="NK33" s="18">
        <f t="array" aca="1" ref="NK33" ca="1">SUMPRODUCT((OFFSET($A33,0,1,1,372)&lt;&gt;"")*(IF(OFFSET($A33,0,1,1,372)=$NX$16,0.5,IF(OFFSET($A33,0,1,1,372)=$NX$17,0.5,1))*(OFFSET($A$3,0,1,1,372))))</f>
        <v>1</v>
      </c>
      <c r="NL33" s="23"/>
      <c r="NM33" s="23"/>
      <c r="NN33" s="23"/>
      <c r="NO33" s="23"/>
      <c r="NP33" s="23"/>
      <c r="NQ33" s="23"/>
      <c r="NR33" s="23"/>
      <c r="NS33" s="23"/>
      <c r="NT33" s="23"/>
      <c r="NU33" s="23"/>
      <c r="NW33" s="14"/>
      <c r="NX33" s="14"/>
    </row>
    <row r="34" spans="1:388" x14ac:dyDescent="0.25">
      <c r="A34" s="1" t="s">
        <v>128</v>
      </c>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c r="KT34" s="1"/>
      <c r="KU34" s="1"/>
      <c r="KV34" s="1"/>
      <c r="KW34" s="1"/>
      <c r="KX34" s="1"/>
      <c r="KY34" s="1"/>
      <c r="KZ34" s="1"/>
      <c r="LA34" s="1"/>
      <c r="LB34" s="1"/>
      <c r="LC34" s="1"/>
      <c r="LD34" s="1"/>
      <c r="LE34" s="1"/>
      <c r="LF34" s="1"/>
      <c r="LG34" s="1"/>
      <c r="LH34" s="1"/>
      <c r="LI34" s="1"/>
      <c r="LJ34" s="1"/>
      <c r="LK34" s="1"/>
      <c r="LL34" s="1"/>
      <c r="LM34" s="1"/>
      <c r="LN34" s="1"/>
      <c r="LO34" s="1"/>
      <c r="LP34" s="1"/>
      <c r="LQ34" s="1"/>
      <c r="LR34" s="1"/>
      <c r="LS34" s="1"/>
      <c r="LT34" s="1"/>
      <c r="LU34" s="1"/>
      <c r="LV34" s="1"/>
      <c r="LW34" s="1"/>
      <c r="LX34" s="1"/>
      <c r="LY34" s="1"/>
      <c r="LZ34" s="1"/>
      <c r="MA34" s="1"/>
      <c r="MB34" s="1"/>
      <c r="MC34" s="1"/>
      <c r="MD34" s="1"/>
      <c r="ME34" s="1"/>
      <c r="MF34" s="1"/>
      <c r="MG34" s="1"/>
      <c r="MH34" s="1"/>
      <c r="MI34" s="1"/>
      <c r="MJ34" s="1"/>
      <c r="MK34" s="1"/>
      <c r="ML34" s="1"/>
      <c r="MM34" s="1"/>
      <c r="MN34" s="1"/>
      <c r="MO34" s="1"/>
      <c r="MP34" s="1"/>
      <c r="MQ34" s="1"/>
      <c r="MR34" s="1"/>
      <c r="MS34" s="1"/>
      <c r="MT34" s="1"/>
      <c r="MU34" s="1"/>
      <c r="MV34" s="1"/>
      <c r="MW34" s="1"/>
      <c r="MX34" s="1"/>
      <c r="MY34" s="1"/>
      <c r="MZ34" s="1" t="s">
        <v>37</v>
      </c>
      <c r="NA34" s="1"/>
      <c r="NB34" s="1"/>
      <c r="NC34" s="1"/>
      <c r="ND34" s="1"/>
      <c r="NE34" s="1"/>
      <c r="NF34" s="1"/>
      <c r="NG34" s="1"/>
      <c r="NH34" s="1"/>
      <c r="NI34" s="1"/>
      <c r="NJ34" s="1"/>
      <c r="NK34" s="18">
        <f t="array" aca="1" ref="NK34" ca="1">SUMPRODUCT((OFFSET($A34,0,1,1,372)&lt;&gt;"")*(IF(OFFSET($A34,0,1,1,372)=$NX$16,0.5,IF(OFFSET($A34,0,1,1,372)=$NX$17,0.5,1))*(OFFSET($A$3,0,1,1,372))))</f>
        <v>1</v>
      </c>
      <c r="NL34" s="23"/>
      <c r="NM34" s="23"/>
      <c r="NN34" s="23"/>
      <c r="NO34" s="23"/>
      <c r="NP34" s="23"/>
      <c r="NQ34" s="23"/>
      <c r="NR34" s="23"/>
      <c r="NS34" s="23"/>
      <c r="NT34" s="23"/>
      <c r="NU34" s="23"/>
      <c r="NW34" s="14"/>
      <c r="NX34" s="14"/>
    </row>
    <row r="35" spans="1:388" x14ac:dyDescent="0.25">
      <c r="A35" s="1" t="s">
        <v>129</v>
      </c>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c r="KT35" s="1"/>
      <c r="KU35" s="1"/>
      <c r="KV35" s="1"/>
      <c r="KW35" s="1"/>
      <c r="KX35" s="1"/>
      <c r="KY35" s="1"/>
      <c r="KZ35" s="1"/>
      <c r="LA35" s="1"/>
      <c r="LB35" s="1"/>
      <c r="LC35" s="1"/>
      <c r="LD35" s="1"/>
      <c r="LE35" s="1"/>
      <c r="LF35" s="1"/>
      <c r="LG35" s="1"/>
      <c r="LH35" s="1"/>
      <c r="LI35" s="1"/>
      <c r="LJ35" s="1"/>
      <c r="LK35" s="1"/>
      <c r="LL35" s="1"/>
      <c r="LM35" s="1"/>
      <c r="LN35" s="1"/>
      <c r="LO35" s="1"/>
      <c r="LP35" s="1"/>
      <c r="LQ35" s="1"/>
      <c r="LR35" s="1"/>
      <c r="LS35" s="1"/>
      <c r="LT35" s="1"/>
      <c r="LU35" s="1"/>
      <c r="LV35" s="1"/>
      <c r="LW35" s="1"/>
      <c r="LX35" s="1"/>
      <c r="LY35" s="1"/>
      <c r="LZ35" s="1"/>
      <c r="MA35" s="1"/>
      <c r="MB35" s="1"/>
      <c r="MC35" s="1"/>
      <c r="MD35" s="1"/>
      <c r="ME35" s="1"/>
      <c r="MF35" s="1"/>
      <c r="MG35" s="1"/>
      <c r="MH35" s="1"/>
      <c r="MI35" s="1"/>
      <c r="MJ35" s="1"/>
      <c r="MK35" s="1"/>
      <c r="ML35" s="1"/>
      <c r="MM35" s="1"/>
      <c r="MN35" s="1"/>
      <c r="MO35" s="1"/>
      <c r="MP35" s="1"/>
      <c r="MQ35" s="1"/>
      <c r="MR35" s="1"/>
      <c r="MS35" s="1"/>
      <c r="MT35" s="1"/>
      <c r="MU35" s="1"/>
      <c r="MV35" s="1"/>
      <c r="MW35" s="1"/>
      <c r="MX35" s="1"/>
      <c r="MY35" s="1"/>
      <c r="MZ35" s="1" t="s">
        <v>37</v>
      </c>
      <c r="NA35" s="1"/>
      <c r="NB35" s="1"/>
      <c r="NC35" s="1"/>
      <c r="ND35" s="1"/>
      <c r="NE35" s="1"/>
      <c r="NF35" s="1"/>
      <c r="NG35" s="1"/>
      <c r="NH35" s="1"/>
      <c r="NI35" s="1"/>
      <c r="NJ35" s="1"/>
      <c r="NK35" s="18">
        <f t="array" aca="1" ref="NK35" ca="1">SUMPRODUCT((OFFSET($A35,0,1,1,372)&lt;&gt;"")*(IF(OFFSET($A35,0,1,1,372)=$NX$16,0.5,IF(OFFSET($A35,0,1,1,372)=$NX$17,0.5,1))*(OFFSET($A$3,0,1,1,372))))</f>
        <v>1</v>
      </c>
      <c r="NL35" s="23">
        <f t="shared" ref="NL35:NU35" ca="1" si="8">SUMPRODUCT((OFFSET($A35,0,1,1,372)&lt;&gt;"")*(OFFSET($A$3,0,1,1,372))*((OFFSET($A35,0,1,1,372))=NL$5))</f>
        <v>0</v>
      </c>
      <c r="NM35" s="23">
        <f t="shared" ca="1" si="8"/>
        <v>0</v>
      </c>
      <c r="NN35" s="23">
        <f t="shared" ca="1" si="8"/>
        <v>0</v>
      </c>
      <c r="NO35" s="23">
        <f t="shared" ca="1" si="8"/>
        <v>1</v>
      </c>
      <c r="NP35" s="23">
        <f t="shared" ca="1" si="8"/>
        <v>0</v>
      </c>
      <c r="NQ35" s="23">
        <f t="shared" ca="1" si="8"/>
        <v>0</v>
      </c>
      <c r="NR35" s="23">
        <f t="shared" ca="1" si="8"/>
        <v>0</v>
      </c>
      <c r="NS35" s="23">
        <f t="shared" ca="1" si="8"/>
        <v>0</v>
      </c>
      <c r="NT35" s="23">
        <f t="shared" ca="1" si="8"/>
        <v>0</v>
      </c>
      <c r="NU35" s="23">
        <f t="shared" ca="1" si="8"/>
        <v>0</v>
      </c>
      <c r="NW35" s="14" t="s">
        <v>17</v>
      </c>
      <c r="NX35" s="14" t="s">
        <v>31</v>
      </c>
    </row>
    <row r="36" spans="1:388" x14ac:dyDescent="0.25">
      <c r="A36" s="1" t="s">
        <v>130</v>
      </c>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c r="KT36" s="1"/>
      <c r="KU36" s="1"/>
      <c r="KV36" s="1"/>
      <c r="KW36" s="1"/>
      <c r="KX36" s="1"/>
      <c r="KY36" s="1"/>
      <c r="KZ36" s="1"/>
      <c r="LA36" s="1"/>
      <c r="LB36" s="1"/>
      <c r="LC36" s="1"/>
      <c r="LD36" s="1"/>
      <c r="LE36" s="1"/>
      <c r="LF36" s="1"/>
      <c r="LG36" s="1"/>
      <c r="LH36" s="1"/>
      <c r="LI36" s="1"/>
      <c r="LJ36" s="1"/>
      <c r="LK36" s="1"/>
      <c r="LL36" s="1"/>
      <c r="LM36" s="1"/>
      <c r="LN36" s="1"/>
      <c r="LO36" s="1"/>
      <c r="LP36" s="1"/>
      <c r="LQ36" s="1"/>
      <c r="LR36" s="1"/>
      <c r="LS36" s="1"/>
      <c r="LT36" s="1"/>
      <c r="LU36" s="1"/>
      <c r="LV36" s="1"/>
      <c r="LW36" s="1"/>
      <c r="LX36" s="1"/>
      <c r="LY36" s="1"/>
      <c r="LZ36" s="1"/>
      <c r="MA36" s="1"/>
      <c r="MB36" s="1"/>
      <c r="MC36" s="1"/>
      <c r="MD36" s="1"/>
      <c r="ME36" s="1"/>
      <c r="MF36" s="1"/>
      <c r="MG36" s="1"/>
      <c r="MH36" s="1"/>
      <c r="MI36" s="1"/>
      <c r="MJ36" s="1"/>
      <c r="MK36" s="1"/>
      <c r="ML36" s="1"/>
      <c r="MM36" s="1"/>
      <c r="MN36" s="1"/>
      <c r="MO36" s="1"/>
      <c r="MP36" s="1"/>
      <c r="MQ36" s="1"/>
      <c r="MR36" s="1"/>
      <c r="MS36" s="1"/>
      <c r="MT36" s="1"/>
      <c r="MU36" s="1"/>
      <c r="MV36" s="1"/>
      <c r="MW36" s="1"/>
      <c r="MX36" s="1"/>
      <c r="MY36" s="1"/>
      <c r="MZ36" s="1" t="s">
        <v>37</v>
      </c>
      <c r="NA36" s="1"/>
      <c r="NB36" s="1"/>
      <c r="NC36" s="1"/>
      <c r="ND36" s="1"/>
      <c r="NE36" s="1"/>
      <c r="NF36" s="1"/>
      <c r="NG36" s="1"/>
      <c r="NH36" s="1"/>
      <c r="NI36" s="1"/>
    </row>
    <row r="37" spans="1:388" x14ac:dyDescent="0.25">
      <c r="A37" s="1" t="s">
        <v>131</v>
      </c>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c r="KT37" s="1"/>
      <c r="KU37" s="1"/>
      <c r="KV37" s="1"/>
      <c r="KW37" s="1"/>
      <c r="KX37" s="1"/>
      <c r="KY37" s="1"/>
      <c r="KZ37" s="1"/>
      <c r="LA37" s="1"/>
      <c r="LB37" s="1"/>
      <c r="LC37" s="1"/>
      <c r="LD37" s="1"/>
      <c r="LE37" s="1"/>
      <c r="LF37" s="1"/>
      <c r="LG37" s="1"/>
      <c r="LH37" s="1"/>
      <c r="LI37" s="1"/>
      <c r="LJ37" s="1"/>
      <c r="LK37" s="1"/>
      <c r="LL37" s="1"/>
      <c r="LM37" s="1"/>
      <c r="LN37" s="1"/>
      <c r="LO37" s="1"/>
      <c r="LP37" s="1"/>
      <c r="LQ37" s="1"/>
      <c r="LR37" s="1"/>
      <c r="LS37" s="1"/>
      <c r="LT37" s="1"/>
      <c r="LU37" s="1"/>
      <c r="LV37" s="1"/>
      <c r="LW37" s="1"/>
      <c r="LX37" s="1"/>
      <c r="LY37" s="1"/>
      <c r="LZ37" s="1"/>
      <c r="MA37" s="1"/>
      <c r="MB37" s="1"/>
      <c r="MC37" s="1"/>
      <c r="MD37" s="1"/>
      <c r="ME37" s="1"/>
      <c r="MF37" s="1"/>
      <c r="MG37" s="1"/>
      <c r="MH37" s="1"/>
      <c r="MI37" s="1"/>
      <c r="MJ37" s="1"/>
      <c r="MK37" s="1"/>
      <c r="ML37" s="1"/>
      <c r="MM37" s="1"/>
      <c r="MN37" s="1"/>
      <c r="MO37" s="1"/>
      <c r="MP37" s="1"/>
      <c r="MQ37" s="1"/>
      <c r="MR37" s="1"/>
      <c r="MS37" s="1"/>
      <c r="MT37" s="1"/>
      <c r="MU37" s="1"/>
      <c r="MV37" s="1"/>
      <c r="MW37" s="1"/>
      <c r="MX37" s="1"/>
      <c r="MY37" s="1"/>
      <c r="MZ37" s="1" t="s">
        <v>37</v>
      </c>
      <c r="NA37" s="1"/>
      <c r="NB37" s="1"/>
      <c r="NC37" s="1"/>
      <c r="ND37" s="1"/>
      <c r="NE37" s="1"/>
      <c r="NF37" s="1"/>
      <c r="NG37" s="1"/>
      <c r="NH37" s="1"/>
      <c r="NI37" s="1"/>
    </row>
    <row r="38" spans="1:388" x14ac:dyDescent="0.25">
      <c r="A38" s="1" t="s">
        <v>132</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c r="KT38" s="1"/>
      <c r="KU38" s="1"/>
      <c r="KV38" s="1"/>
      <c r="KW38" s="1"/>
      <c r="KX38" s="1"/>
      <c r="KY38" s="1"/>
      <c r="KZ38" s="1"/>
      <c r="LA38" s="1"/>
      <c r="LB38" s="1"/>
      <c r="LC38" s="1"/>
      <c r="LD38" s="1"/>
      <c r="LE38" s="1"/>
      <c r="LF38" s="1"/>
      <c r="LG38" s="1"/>
      <c r="LH38" s="1"/>
      <c r="LI38" s="1"/>
      <c r="LJ38" s="1"/>
      <c r="LK38" s="1"/>
      <c r="LL38" s="1"/>
      <c r="LM38" s="1"/>
      <c r="LN38" s="1"/>
      <c r="LO38" s="1"/>
      <c r="LP38" s="1"/>
      <c r="LQ38" s="1"/>
      <c r="LR38" s="1"/>
      <c r="LS38" s="1"/>
      <c r="LT38" s="1"/>
      <c r="LU38" s="1"/>
      <c r="LV38" s="1"/>
      <c r="LW38" s="1"/>
      <c r="LX38" s="1"/>
      <c r="LY38" s="1"/>
      <c r="LZ38" s="1"/>
      <c r="MA38" s="1"/>
      <c r="MB38" s="1"/>
      <c r="MC38" s="1"/>
      <c r="MD38" s="1"/>
      <c r="ME38" s="1"/>
      <c r="MF38" s="1"/>
      <c r="MG38" s="1"/>
      <c r="MH38" s="1"/>
      <c r="MI38" s="1"/>
      <c r="MJ38" s="1"/>
      <c r="MK38" s="1"/>
      <c r="ML38" s="1"/>
      <c r="MM38" s="1"/>
      <c r="MN38" s="1"/>
      <c r="MO38" s="1"/>
      <c r="MP38" s="1"/>
      <c r="MQ38" s="1"/>
      <c r="MR38" s="1"/>
      <c r="MS38" s="1"/>
      <c r="MT38" s="1"/>
      <c r="MU38" s="1"/>
      <c r="MV38" s="1"/>
      <c r="MW38" s="1"/>
      <c r="MX38" s="1"/>
      <c r="MY38" s="1"/>
      <c r="MZ38" s="1" t="s">
        <v>37</v>
      </c>
      <c r="NA38" s="1"/>
      <c r="NB38" s="1"/>
      <c r="NC38" s="1"/>
      <c r="ND38" s="1"/>
      <c r="NE38" s="1"/>
      <c r="NF38" s="1"/>
      <c r="NG38" s="1"/>
      <c r="NH38" s="1"/>
      <c r="NI38" s="1"/>
    </row>
    <row r="39" spans="1:388" x14ac:dyDescent="0.25">
      <c r="A39" s="1" t="s">
        <v>133</v>
      </c>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t="s">
        <v>37</v>
      </c>
      <c r="NA39" s="1"/>
      <c r="NB39" s="1"/>
      <c r="NC39" s="1"/>
      <c r="ND39" s="1"/>
      <c r="NE39" s="1"/>
      <c r="NF39" s="1"/>
      <c r="NG39" s="1"/>
      <c r="NH39" s="1"/>
      <c r="NI39" s="1"/>
    </row>
    <row r="40" spans="1:388" x14ac:dyDescent="0.25">
      <c r="A40" s="1" t="s">
        <v>134</v>
      </c>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t="s">
        <v>37</v>
      </c>
      <c r="NA40" s="1"/>
      <c r="NB40" s="1"/>
      <c r="NC40" s="1"/>
      <c r="ND40" s="1"/>
      <c r="NE40" s="1"/>
      <c r="NF40" s="1"/>
      <c r="NG40" s="1"/>
      <c r="NH40" s="1"/>
      <c r="NI40" s="1"/>
    </row>
    <row r="41" spans="1:388" x14ac:dyDescent="0.25">
      <c r="A41" s="1" t="s">
        <v>135</v>
      </c>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t="s">
        <v>37</v>
      </c>
      <c r="NA41" s="1"/>
      <c r="NB41" s="1"/>
      <c r="NC41" s="1"/>
      <c r="ND41" s="1"/>
      <c r="NE41" s="1"/>
      <c r="NF41" s="1"/>
      <c r="NG41" s="1"/>
      <c r="NH41" s="1"/>
      <c r="NI41" s="1"/>
    </row>
    <row r="42" spans="1:388"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c r="NA42" s="1"/>
      <c r="NB42" s="1"/>
      <c r="NC42" s="1"/>
      <c r="ND42" s="1"/>
      <c r="NE42" s="1"/>
      <c r="NF42" s="1"/>
      <c r="NG42" s="1"/>
      <c r="NH42" s="1"/>
      <c r="NI42" s="1"/>
    </row>
    <row r="43" spans="1:388"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c r="NA43" s="1"/>
      <c r="NB43" s="1"/>
      <c r="NC43" s="1"/>
      <c r="ND43" s="1"/>
      <c r="NE43" s="1"/>
      <c r="NF43" s="1"/>
      <c r="NG43" s="1"/>
      <c r="NH43" s="1"/>
      <c r="NI43" s="1"/>
    </row>
    <row r="44" spans="1:388"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c r="NA44" s="1"/>
      <c r="NB44" s="1"/>
      <c r="NC44" s="1"/>
      <c r="ND44" s="1"/>
      <c r="NE44" s="1"/>
      <c r="NF44" s="1"/>
      <c r="NG44" s="1"/>
      <c r="NH44" s="1"/>
      <c r="NI44" s="1"/>
    </row>
    <row r="45" spans="1:388"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c r="NA45" s="1"/>
      <c r="NB45" s="1"/>
      <c r="NC45" s="1"/>
      <c r="ND45" s="1"/>
      <c r="NE45" s="1"/>
      <c r="NF45" s="1"/>
      <c r="NG45" s="1"/>
      <c r="NH45" s="1"/>
      <c r="NI45" s="1"/>
    </row>
    <row r="46" spans="1:388"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c r="NA46" s="1"/>
      <c r="NB46" s="1"/>
      <c r="NC46" s="1"/>
      <c r="ND46" s="1"/>
      <c r="NE46" s="1"/>
      <c r="NF46" s="1"/>
      <c r="NG46" s="1"/>
      <c r="NH46" s="1"/>
      <c r="NI46" s="1"/>
    </row>
    <row r="47" spans="1:388"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c r="NA47" s="1"/>
      <c r="NB47" s="1"/>
      <c r="NC47" s="1"/>
      <c r="ND47" s="1"/>
      <c r="NE47" s="1"/>
      <c r="NF47" s="1"/>
      <c r="NG47" s="1"/>
      <c r="NH47" s="1"/>
      <c r="NI47" s="1"/>
    </row>
    <row r="48" spans="1:388"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c r="NA48" s="1"/>
      <c r="NB48" s="1"/>
      <c r="NC48" s="1"/>
      <c r="ND48" s="1"/>
      <c r="NE48" s="1"/>
      <c r="NF48" s="1"/>
      <c r="NG48" s="1"/>
      <c r="NH48" s="1"/>
      <c r="NI48" s="1"/>
    </row>
    <row r="49" spans="1:373"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c r="NA49" s="1"/>
      <c r="NB49" s="1"/>
      <c r="NC49" s="1"/>
      <c r="ND49" s="1"/>
      <c r="NE49" s="1"/>
      <c r="NF49" s="1"/>
      <c r="NG49" s="1"/>
      <c r="NH49" s="1"/>
      <c r="NI49" s="1"/>
    </row>
    <row r="50" spans="1:373"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c r="NA50" s="1"/>
      <c r="NB50" s="1"/>
      <c r="NC50" s="1"/>
      <c r="ND50" s="1"/>
      <c r="NE50" s="1"/>
      <c r="NF50" s="1"/>
      <c r="NG50" s="1"/>
      <c r="NH50" s="1"/>
      <c r="NI50" s="1"/>
    </row>
    <row r="51" spans="1:373"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c r="NA51" s="1"/>
      <c r="NB51" s="1"/>
      <c r="NC51" s="1"/>
      <c r="ND51" s="1"/>
      <c r="NE51" s="1"/>
      <c r="NF51" s="1"/>
      <c r="NG51" s="1"/>
      <c r="NH51" s="1"/>
      <c r="NI51" s="1"/>
    </row>
    <row r="52" spans="1:373"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c r="IU52" s="1"/>
      <c r="IV52" s="1"/>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c r="NA52" s="1"/>
      <c r="NB52" s="1"/>
      <c r="NC52" s="1"/>
      <c r="ND52" s="1"/>
      <c r="NE52" s="1"/>
      <c r="NF52" s="1"/>
      <c r="NG52" s="1"/>
      <c r="NH52" s="1"/>
      <c r="NI52" s="1"/>
    </row>
    <row r="53" spans="1:373"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c r="NA53" s="1"/>
      <c r="NB53" s="1"/>
      <c r="NC53" s="1"/>
      <c r="ND53" s="1"/>
      <c r="NE53" s="1"/>
      <c r="NF53" s="1"/>
      <c r="NG53" s="1"/>
      <c r="NH53" s="1"/>
      <c r="NI53" s="1"/>
    </row>
    <row r="54" spans="1:373"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c r="NA54" s="1"/>
      <c r="NB54" s="1"/>
      <c r="NC54" s="1"/>
      <c r="ND54" s="1"/>
      <c r="NE54" s="1"/>
      <c r="NF54" s="1"/>
      <c r="NG54" s="1"/>
      <c r="NH54" s="1"/>
      <c r="NI54" s="1"/>
    </row>
    <row r="55" spans="1:373"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c r="NA55" s="1"/>
      <c r="NB55" s="1"/>
      <c r="NC55" s="1"/>
      <c r="ND55" s="1"/>
      <c r="NE55" s="1"/>
      <c r="NF55" s="1"/>
      <c r="NG55" s="1"/>
      <c r="NH55" s="1"/>
      <c r="NI55" s="1"/>
    </row>
    <row r="56" spans="1:373"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c r="NA56" s="1"/>
      <c r="NB56" s="1"/>
      <c r="NC56" s="1"/>
      <c r="ND56" s="1"/>
      <c r="NE56" s="1"/>
      <c r="NF56" s="1"/>
      <c r="NG56" s="1"/>
      <c r="NH56" s="1"/>
      <c r="NI56" s="1"/>
    </row>
    <row r="57" spans="1:373"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c r="NA57" s="1"/>
      <c r="NB57" s="1"/>
      <c r="NC57" s="1"/>
      <c r="ND57" s="1"/>
      <c r="NE57" s="1"/>
      <c r="NF57" s="1"/>
      <c r="NG57" s="1"/>
      <c r="NH57" s="1"/>
      <c r="NI57" s="1"/>
    </row>
    <row r="58" spans="1:373"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c r="NA58" s="1"/>
      <c r="NB58" s="1"/>
      <c r="NC58" s="1"/>
      <c r="ND58" s="1"/>
      <c r="NE58" s="1"/>
      <c r="NF58" s="1"/>
      <c r="NG58" s="1"/>
      <c r="NH58" s="1"/>
      <c r="NI58" s="1"/>
    </row>
    <row r="59" spans="1:373"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c r="NA59" s="1"/>
      <c r="NB59" s="1"/>
      <c r="NC59" s="1"/>
      <c r="ND59" s="1"/>
      <c r="NE59" s="1"/>
      <c r="NF59" s="1"/>
      <c r="NG59" s="1"/>
      <c r="NH59" s="1"/>
      <c r="NI59" s="1"/>
    </row>
    <row r="60" spans="1:373"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c r="NA60" s="1"/>
      <c r="NB60" s="1"/>
      <c r="NC60" s="1"/>
      <c r="ND60" s="1"/>
      <c r="NE60" s="1"/>
      <c r="NF60" s="1"/>
      <c r="NG60" s="1"/>
      <c r="NH60" s="1"/>
      <c r="NI60" s="1"/>
    </row>
    <row r="61" spans="1:373"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c r="NA61" s="1"/>
      <c r="NB61" s="1"/>
      <c r="NC61" s="1"/>
      <c r="ND61" s="1"/>
      <c r="NE61" s="1"/>
      <c r="NF61" s="1"/>
      <c r="NG61" s="1"/>
      <c r="NH61" s="1"/>
      <c r="NI61" s="1"/>
    </row>
    <row r="62" spans="1:373"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c r="NA62" s="1"/>
      <c r="NB62" s="1"/>
      <c r="NC62" s="1"/>
      <c r="ND62" s="1"/>
      <c r="NE62" s="1"/>
      <c r="NF62" s="1"/>
      <c r="NG62" s="1"/>
      <c r="NH62" s="1"/>
      <c r="NI62" s="1"/>
    </row>
    <row r="63" spans="1:373"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U63" s="1"/>
      <c r="MV63" s="1"/>
      <c r="MW63" s="1"/>
      <c r="MX63" s="1"/>
      <c r="MY63" s="1"/>
      <c r="MZ63" s="1"/>
      <c r="NA63" s="1"/>
      <c r="NB63" s="1"/>
      <c r="NC63" s="1"/>
      <c r="ND63" s="1"/>
      <c r="NE63" s="1"/>
      <c r="NF63" s="1"/>
      <c r="NG63" s="1"/>
      <c r="NH63" s="1"/>
      <c r="NI63" s="1"/>
    </row>
    <row r="64" spans="1:373"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c r="NA64" s="1"/>
      <c r="NB64" s="1"/>
      <c r="NC64" s="1"/>
      <c r="ND64" s="1"/>
      <c r="NE64" s="1"/>
      <c r="NF64" s="1"/>
      <c r="NG64" s="1"/>
      <c r="NH64" s="1"/>
      <c r="NI64" s="1"/>
    </row>
    <row r="65" spans="1:373"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c r="NA65" s="1"/>
      <c r="NB65" s="1"/>
      <c r="NC65" s="1"/>
      <c r="ND65" s="1"/>
      <c r="NE65" s="1"/>
      <c r="NF65" s="1"/>
      <c r="NG65" s="1"/>
      <c r="NH65" s="1"/>
      <c r="NI65" s="1"/>
    </row>
    <row r="66" spans="1:373"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c r="IU66" s="1"/>
      <c r="IV66" s="1"/>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c r="NA66" s="1"/>
      <c r="NB66" s="1"/>
      <c r="NC66" s="1"/>
      <c r="ND66" s="1"/>
      <c r="NE66" s="1"/>
      <c r="NF66" s="1"/>
      <c r="NG66" s="1"/>
      <c r="NH66" s="1"/>
      <c r="NI66" s="1"/>
    </row>
    <row r="67" spans="1:373"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c r="NA67" s="1"/>
      <c r="NB67" s="1"/>
      <c r="NC67" s="1"/>
      <c r="ND67" s="1"/>
      <c r="NE67" s="1"/>
      <c r="NF67" s="1"/>
      <c r="NG67" s="1"/>
      <c r="NH67" s="1"/>
      <c r="NI67" s="1"/>
    </row>
    <row r="68" spans="1:373"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c r="GF68" s="1"/>
      <c r="GG68" s="1"/>
      <c r="GH68" s="1"/>
      <c r="GI68" s="1"/>
      <c r="GJ68" s="1"/>
      <c r="GK68" s="1"/>
      <c r="GL68" s="1"/>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1"/>
      <c r="HV68" s="1"/>
      <c r="HW68" s="1"/>
      <c r="HX68" s="1"/>
      <c r="HY68" s="1"/>
      <c r="HZ68" s="1"/>
      <c r="IA68" s="1"/>
      <c r="IB68" s="1"/>
      <c r="IC68" s="1"/>
      <c r="ID68" s="1"/>
      <c r="IE68" s="1"/>
      <c r="IF68" s="1"/>
      <c r="IG68" s="1"/>
      <c r="IH68" s="1"/>
      <c r="II68" s="1"/>
      <c r="IJ68" s="1"/>
      <c r="IK68" s="1"/>
      <c r="IL68" s="1"/>
      <c r="IM68" s="1"/>
      <c r="IN68" s="1"/>
      <c r="IO68" s="1"/>
      <c r="IP68" s="1"/>
      <c r="IQ68" s="1"/>
      <c r="IR68" s="1"/>
      <c r="IS68" s="1"/>
      <c r="IT68" s="1"/>
      <c r="IU68" s="1"/>
      <c r="IV68" s="1"/>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c r="NA68" s="1"/>
      <c r="NB68" s="1"/>
      <c r="NC68" s="1"/>
      <c r="ND68" s="1"/>
      <c r="NE68" s="1"/>
      <c r="NF68" s="1"/>
      <c r="NG68" s="1"/>
      <c r="NH68" s="1"/>
      <c r="NI68" s="1"/>
    </row>
    <row r="69" spans="1:373"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c r="NA69" s="1"/>
      <c r="NB69" s="1"/>
      <c r="NC69" s="1"/>
      <c r="ND69" s="1"/>
      <c r="NE69" s="1"/>
      <c r="NF69" s="1"/>
      <c r="NG69" s="1"/>
      <c r="NH69" s="1"/>
      <c r="NI69" s="1"/>
    </row>
    <row r="70" spans="1:373"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c r="NA70" s="1"/>
      <c r="NB70" s="1"/>
      <c r="NC70" s="1"/>
      <c r="ND70" s="1"/>
      <c r="NE70" s="1"/>
      <c r="NF70" s="1"/>
      <c r="NG70" s="1"/>
      <c r="NH70" s="1"/>
      <c r="NI70" s="1"/>
    </row>
    <row r="71" spans="1:373"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c r="NA71" s="1"/>
      <c r="NB71" s="1"/>
      <c r="NC71" s="1"/>
      <c r="ND71" s="1"/>
      <c r="NE71" s="1"/>
      <c r="NF71" s="1"/>
      <c r="NG71" s="1"/>
      <c r="NH71" s="1"/>
      <c r="NI71" s="1"/>
    </row>
    <row r="72" spans="1:373"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c r="GF72" s="1"/>
      <c r="GG72" s="1"/>
      <c r="GH72" s="1"/>
      <c r="GI72" s="1"/>
      <c r="GJ72" s="1"/>
      <c r="GK72" s="1"/>
      <c r="GL72" s="1"/>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1"/>
      <c r="HV72" s="1"/>
      <c r="HW72" s="1"/>
      <c r="HX72" s="1"/>
      <c r="HY72" s="1"/>
      <c r="HZ72" s="1"/>
      <c r="IA72" s="1"/>
      <c r="IB72" s="1"/>
      <c r="IC72" s="1"/>
      <c r="ID72" s="1"/>
      <c r="IE72" s="1"/>
      <c r="IF72" s="1"/>
      <c r="IG72" s="1"/>
      <c r="IH72" s="1"/>
      <c r="II72" s="1"/>
      <c r="IJ72" s="1"/>
      <c r="IK72" s="1"/>
      <c r="IL72" s="1"/>
      <c r="IM72" s="1"/>
      <c r="IN72" s="1"/>
      <c r="IO72" s="1"/>
      <c r="IP72" s="1"/>
      <c r="IQ72" s="1"/>
      <c r="IR72" s="1"/>
      <c r="IS72" s="1"/>
      <c r="IT72" s="1"/>
      <c r="IU72" s="1"/>
      <c r="IV72" s="1"/>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c r="NA72" s="1"/>
      <c r="NB72" s="1"/>
      <c r="NC72" s="1"/>
      <c r="ND72" s="1"/>
      <c r="NE72" s="1"/>
      <c r="NF72" s="1"/>
      <c r="NG72" s="1"/>
      <c r="NH72" s="1"/>
      <c r="NI72" s="1"/>
    </row>
    <row r="73" spans="1:373"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c r="GF73" s="1"/>
      <c r="GG73" s="1"/>
      <c r="GH73" s="1"/>
      <c r="GI73" s="1"/>
      <c r="GJ73" s="1"/>
      <c r="GK73" s="1"/>
      <c r="GL73" s="1"/>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c r="HU73" s="1"/>
      <c r="HV73" s="1"/>
      <c r="HW73" s="1"/>
      <c r="HX73" s="1"/>
      <c r="HY73" s="1"/>
      <c r="HZ73" s="1"/>
      <c r="IA73" s="1"/>
      <c r="IB73" s="1"/>
      <c r="IC73" s="1"/>
      <c r="ID73" s="1"/>
      <c r="IE73" s="1"/>
      <c r="IF73" s="1"/>
      <c r="IG73" s="1"/>
      <c r="IH73" s="1"/>
      <c r="II73" s="1"/>
      <c r="IJ73" s="1"/>
      <c r="IK73" s="1"/>
      <c r="IL73" s="1"/>
      <c r="IM73" s="1"/>
      <c r="IN73" s="1"/>
      <c r="IO73" s="1"/>
      <c r="IP73" s="1"/>
      <c r="IQ73" s="1"/>
      <c r="IR73" s="1"/>
      <c r="IS73" s="1"/>
      <c r="IT73" s="1"/>
      <c r="IU73" s="1"/>
      <c r="IV73" s="1"/>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c r="NA73" s="1"/>
      <c r="NB73" s="1"/>
      <c r="NC73" s="1"/>
      <c r="ND73" s="1"/>
      <c r="NE73" s="1"/>
      <c r="NF73" s="1"/>
      <c r="NG73" s="1"/>
      <c r="NH73" s="1"/>
      <c r="NI73" s="1"/>
    </row>
    <row r="74" spans="1:373"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c r="GF74" s="1"/>
      <c r="GG74" s="1"/>
      <c r="GH74" s="1"/>
      <c r="GI74" s="1"/>
      <c r="GJ74" s="1"/>
      <c r="GK74" s="1"/>
      <c r="GL74" s="1"/>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c r="HU74" s="1"/>
      <c r="HV74" s="1"/>
      <c r="HW74" s="1"/>
      <c r="HX74" s="1"/>
      <c r="HY74" s="1"/>
      <c r="HZ74" s="1"/>
      <c r="IA74" s="1"/>
      <c r="IB74" s="1"/>
      <c r="IC74" s="1"/>
      <c r="ID74" s="1"/>
      <c r="IE74" s="1"/>
      <c r="IF74" s="1"/>
      <c r="IG74" s="1"/>
      <c r="IH74" s="1"/>
      <c r="II74" s="1"/>
      <c r="IJ74" s="1"/>
      <c r="IK74" s="1"/>
      <c r="IL74" s="1"/>
      <c r="IM74" s="1"/>
      <c r="IN74" s="1"/>
      <c r="IO74" s="1"/>
      <c r="IP74" s="1"/>
      <c r="IQ74" s="1"/>
      <c r="IR74" s="1"/>
      <c r="IS74" s="1"/>
      <c r="IT74" s="1"/>
      <c r="IU74" s="1"/>
      <c r="IV74" s="1"/>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c r="NA74" s="1"/>
      <c r="NB74" s="1"/>
      <c r="NC74" s="1"/>
      <c r="ND74" s="1"/>
      <c r="NE74" s="1"/>
      <c r="NF74" s="1"/>
      <c r="NG74" s="1"/>
      <c r="NH74" s="1"/>
      <c r="NI74" s="1"/>
    </row>
    <row r="75" spans="1:373"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c r="GF75" s="1"/>
      <c r="GG75" s="1"/>
      <c r="GH75" s="1"/>
      <c r="GI75" s="1"/>
      <c r="GJ75" s="1"/>
      <c r="GK75" s="1"/>
      <c r="GL75" s="1"/>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1"/>
      <c r="HV75" s="1"/>
      <c r="HW75" s="1"/>
      <c r="HX75" s="1"/>
      <c r="HY75" s="1"/>
      <c r="HZ75" s="1"/>
      <c r="IA75" s="1"/>
      <c r="IB75" s="1"/>
      <c r="IC75" s="1"/>
      <c r="ID75" s="1"/>
      <c r="IE75" s="1"/>
      <c r="IF75" s="1"/>
      <c r="IG75" s="1"/>
      <c r="IH75" s="1"/>
      <c r="II75" s="1"/>
      <c r="IJ75" s="1"/>
      <c r="IK75" s="1"/>
      <c r="IL75" s="1"/>
      <c r="IM75" s="1"/>
      <c r="IN75" s="1"/>
      <c r="IO75" s="1"/>
      <c r="IP75" s="1"/>
      <c r="IQ75" s="1"/>
      <c r="IR75" s="1"/>
      <c r="IS75" s="1"/>
      <c r="IT75" s="1"/>
      <c r="IU75" s="1"/>
      <c r="IV75" s="1"/>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c r="NA75" s="1"/>
      <c r="NB75" s="1"/>
      <c r="NC75" s="1"/>
      <c r="ND75" s="1"/>
      <c r="NE75" s="1"/>
      <c r="NF75" s="1"/>
      <c r="NG75" s="1"/>
      <c r="NH75" s="1"/>
      <c r="NI75" s="1"/>
    </row>
    <row r="76" spans="1:373"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row>
    <row r="77" spans="1:373"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c r="FW77" s="1"/>
      <c r="FX77" s="1"/>
      <c r="FY77" s="1"/>
      <c r="FZ77" s="1"/>
      <c r="GA77" s="1"/>
      <c r="GB77" s="1"/>
      <c r="GC77" s="1"/>
      <c r="GD77" s="1"/>
      <c r="GE77" s="1"/>
      <c r="GF77" s="1"/>
      <c r="GG77" s="1"/>
      <c r="GH77" s="1"/>
      <c r="GI77" s="1"/>
      <c r="GJ77" s="1"/>
      <c r="GK77" s="1"/>
      <c r="GL77" s="1"/>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1"/>
      <c r="HQ77" s="1"/>
      <c r="HR77" s="1"/>
      <c r="HS77" s="1"/>
      <c r="HT77" s="1"/>
      <c r="HU77" s="1"/>
      <c r="HV77" s="1"/>
      <c r="HW77" s="1"/>
      <c r="HX77" s="1"/>
      <c r="HY77" s="1"/>
      <c r="HZ77" s="1"/>
      <c r="IA77" s="1"/>
      <c r="IB77" s="1"/>
      <c r="IC77" s="1"/>
      <c r="ID77" s="1"/>
      <c r="IE77" s="1"/>
      <c r="IF77" s="1"/>
      <c r="IG77" s="1"/>
      <c r="IH77" s="1"/>
      <c r="II77" s="1"/>
      <c r="IJ77" s="1"/>
      <c r="IK77" s="1"/>
      <c r="IL77" s="1"/>
      <c r="IM77" s="1"/>
      <c r="IN77" s="1"/>
      <c r="IO77" s="1"/>
      <c r="IP77" s="1"/>
      <c r="IQ77" s="1"/>
      <c r="IR77" s="1"/>
      <c r="IS77" s="1"/>
      <c r="IT77" s="1"/>
      <c r="IU77" s="1"/>
      <c r="IV77" s="1"/>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c r="NA77" s="1"/>
      <c r="NB77" s="1"/>
      <c r="NC77" s="1"/>
      <c r="ND77" s="1"/>
      <c r="NE77" s="1"/>
      <c r="NF77" s="1"/>
      <c r="NG77" s="1"/>
      <c r="NH77" s="1"/>
      <c r="NI77" s="1"/>
    </row>
    <row r="78" spans="1:373"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c r="GF78" s="1"/>
      <c r="GG78" s="1"/>
      <c r="GH78" s="1"/>
      <c r="GI78" s="1"/>
      <c r="GJ78" s="1"/>
      <c r="GK78" s="1"/>
      <c r="GL78" s="1"/>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c r="HU78" s="1"/>
      <c r="HV78" s="1"/>
      <c r="HW78" s="1"/>
      <c r="HX78" s="1"/>
      <c r="HY78" s="1"/>
      <c r="HZ78" s="1"/>
      <c r="IA78" s="1"/>
      <c r="IB78" s="1"/>
      <c r="IC78" s="1"/>
      <c r="ID78" s="1"/>
      <c r="IE78" s="1"/>
      <c r="IF78" s="1"/>
      <c r="IG78" s="1"/>
      <c r="IH78" s="1"/>
      <c r="II78" s="1"/>
      <c r="IJ78" s="1"/>
      <c r="IK78" s="1"/>
      <c r="IL78" s="1"/>
      <c r="IM78" s="1"/>
      <c r="IN78" s="1"/>
      <c r="IO78" s="1"/>
      <c r="IP78" s="1"/>
      <c r="IQ78" s="1"/>
      <c r="IR78" s="1"/>
      <c r="IS78" s="1"/>
      <c r="IT78" s="1"/>
      <c r="IU78" s="1"/>
      <c r="IV78" s="1"/>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c r="NA78" s="1"/>
      <c r="NB78" s="1"/>
      <c r="NC78" s="1"/>
      <c r="ND78" s="1"/>
      <c r="NE78" s="1"/>
      <c r="NF78" s="1"/>
      <c r="NG78" s="1"/>
      <c r="NH78" s="1"/>
      <c r="NI78" s="1"/>
    </row>
    <row r="79" spans="1:373"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c r="GF79" s="1"/>
      <c r="GG79" s="1"/>
      <c r="GH79" s="1"/>
      <c r="GI79" s="1"/>
      <c r="GJ79" s="1"/>
      <c r="GK79" s="1"/>
      <c r="GL79" s="1"/>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c r="HU79" s="1"/>
      <c r="HV79" s="1"/>
      <c r="HW79" s="1"/>
      <c r="HX79" s="1"/>
      <c r="HY79" s="1"/>
      <c r="HZ79" s="1"/>
      <c r="IA79" s="1"/>
      <c r="IB79" s="1"/>
      <c r="IC79" s="1"/>
      <c r="ID79" s="1"/>
      <c r="IE79" s="1"/>
      <c r="IF79" s="1"/>
      <c r="IG79" s="1"/>
      <c r="IH79" s="1"/>
      <c r="II79" s="1"/>
      <c r="IJ79" s="1"/>
      <c r="IK79" s="1"/>
      <c r="IL79" s="1"/>
      <c r="IM79" s="1"/>
      <c r="IN79" s="1"/>
      <c r="IO79" s="1"/>
      <c r="IP79" s="1"/>
      <c r="IQ79" s="1"/>
      <c r="IR79" s="1"/>
      <c r="IS79" s="1"/>
      <c r="IT79" s="1"/>
      <c r="IU79" s="1"/>
      <c r="IV79" s="1"/>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c r="NA79" s="1"/>
      <c r="NB79" s="1"/>
      <c r="NC79" s="1"/>
      <c r="ND79" s="1"/>
      <c r="NE79" s="1"/>
      <c r="NF79" s="1"/>
      <c r="NG79" s="1"/>
      <c r="NH79" s="1"/>
      <c r="NI79" s="1"/>
    </row>
    <row r="80" spans="1:373"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c r="GF80" s="1"/>
      <c r="GG80" s="1"/>
      <c r="GH80" s="1"/>
      <c r="GI80" s="1"/>
      <c r="GJ80" s="1"/>
      <c r="GK80" s="1"/>
      <c r="GL80" s="1"/>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c r="HU80" s="1"/>
      <c r="HV80" s="1"/>
      <c r="HW80" s="1"/>
      <c r="HX80" s="1"/>
      <c r="HY80" s="1"/>
      <c r="HZ80" s="1"/>
      <c r="IA80" s="1"/>
      <c r="IB80" s="1"/>
      <c r="IC80" s="1"/>
      <c r="ID80" s="1"/>
      <c r="IE80" s="1"/>
      <c r="IF80" s="1"/>
      <c r="IG80" s="1"/>
      <c r="IH80" s="1"/>
      <c r="II80" s="1"/>
      <c r="IJ80" s="1"/>
      <c r="IK80" s="1"/>
      <c r="IL80" s="1"/>
      <c r="IM80" s="1"/>
      <c r="IN80" s="1"/>
      <c r="IO80" s="1"/>
      <c r="IP80" s="1"/>
      <c r="IQ80" s="1"/>
      <c r="IR80" s="1"/>
      <c r="IS80" s="1"/>
      <c r="IT80" s="1"/>
      <c r="IU80" s="1"/>
      <c r="IV80" s="1"/>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c r="NA80" s="1"/>
      <c r="NB80" s="1"/>
      <c r="NC80" s="1"/>
      <c r="ND80" s="1"/>
      <c r="NE80" s="1"/>
      <c r="NF80" s="1"/>
      <c r="NG80" s="1"/>
      <c r="NH80" s="1"/>
      <c r="NI80" s="1"/>
    </row>
    <row r="81" spans="1:373"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c r="FW81" s="1"/>
      <c r="FX81" s="1"/>
      <c r="FY81" s="1"/>
      <c r="FZ81" s="1"/>
      <c r="GA81" s="1"/>
      <c r="GB81" s="1"/>
      <c r="GC81" s="1"/>
      <c r="GD81" s="1"/>
      <c r="GE81" s="1"/>
      <c r="GF81" s="1"/>
      <c r="GG81" s="1"/>
      <c r="GH81" s="1"/>
      <c r="GI81" s="1"/>
      <c r="GJ81" s="1"/>
      <c r="GK81" s="1"/>
      <c r="GL81" s="1"/>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1"/>
      <c r="HQ81" s="1"/>
      <c r="HR81" s="1"/>
      <c r="HS81" s="1"/>
      <c r="HT81" s="1"/>
      <c r="HU81" s="1"/>
      <c r="HV81" s="1"/>
      <c r="HW81" s="1"/>
      <c r="HX81" s="1"/>
      <c r="HY81" s="1"/>
      <c r="HZ81" s="1"/>
      <c r="IA81" s="1"/>
      <c r="IB81" s="1"/>
      <c r="IC81" s="1"/>
      <c r="ID81" s="1"/>
      <c r="IE81" s="1"/>
      <c r="IF81" s="1"/>
      <c r="IG81" s="1"/>
      <c r="IH81" s="1"/>
      <c r="II81" s="1"/>
      <c r="IJ81" s="1"/>
      <c r="IK81" s="1"/>
      <c r="IL81" s="1"/>
      <c r="IM81" s="1"/>
      <c r="IN81" s="1"/>
      <c r="IO81" s="1"/>
      <c r="IP81" s="1"/>
      <c r="IQ81" s="1"/>
      <c r="IR81" s="1"/>
      <c r="IS81" s="1"/>
      <c r="IT81" s="1"/>
      <c r="IU81" s="1"/>
      <c r="IV81" s="1"/>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c r="NA81" s="1"/>
      <c r="NB81" s="1"/>
      <c r="NC81" s="1"/>
      <c r="ND81" s="1"/>
      <c r="NE81" s="1"/>
      <c r="NF81" s="1"/>
      <c r="NG81" s="1"/>
      <c r="NH81" s="1"/>
      <c r="NI81" s="1"/>
    </row>
    <row r="82" spans="1:373"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c r="FW82" s="1"/>
      <c r="FX82" s="1"/>
      <c r="FY82" s="1"/>
      <c r="FZ82" s="1"/>
      <c r="GA82" s="1"/>
      <c r="GB82" s="1"/>
      <c r="GC82" s="1"/>
      <c r="GD82" s="1"/>
      <c r="GE82" s="1"/>
      <c r="GF82" s="1"/>
      <c r="GG82" s="1"/>
      <c r="GH82" s="1"/>
      <c r="GI82" s="1"/>
      <c r="GJ82" s="1"/>
      <c r="GK82" s="1"/>
      <c r="GL82" s="1"/>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1"/>
      <c r="HQ82" s="1"/>
      <c r="HR82" s="1"/>
      <c r="HS82" s="1"/>
      <c r="HT82" s="1"/>
      <c r="HU82" s="1"/>
      <c r="HV82" s="1"/>
      <c r="HW82" s="1"/>
      <c r="HX82" s="1"/>
      <c r="HY82" s="1"/>
      <c r="HZ82" s="1"/>
      <c r="IA82" s="1"/>
      <c r="IB82" s="1"/>
      <c r="IC82" s="1"/>
      <c r="ID82" s="1"/>
      <c r="IE82" s="1"/>
      <c r="IF82" s="1"/>
      <c r="IG82" s="1"/>
      <c r="IH82" s="1"/>
      <c r="II82" s="1"/>
      <c r="IJ82" s="1"/>
      <c r="IK82" s="1"/>
      <c r="IL82" s="1"/>
      <c r="IM82" s="1"/>
      <c r="IN82" s="1"/>
      <c r="IO82" s="1"/>
      <c r="IP82" s="1"/>
      <c r="IQ82" s="1"/>
      <c r="IR82" s="1"/>
      <c r="IS82" s="1"/>
      <c r="IT82" s="1"/>
      <c r="IU82" s="1"/>
      <c r="IV82" s="1"/>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c r="NA82" s="1"/>
      <c r="NB82" s="1"/>
      <c r="NC82" s="1"/>
      <c r="ND82" s="1"/>
      <c r="NE82" s="1"/>
      <c r="NF82" s="1"/>
      <c r="NG82" s="1"/>
      <c r="NH82" s="1"/>
      <c r="NI82" s="1"/>
    </row>
    <row r="83" spans="1:373"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c r="GF83" s="1"/>
      <c r="GG83" s="1"/>
      <c r="GH83" s="1"/>
      <c r="GI83" s="1"/>
      <c r="GJ83" s="1"/>
      <c r="GK83" s="1"/>
      <c r="GL83" s="1"/>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c r="HU83" s="1"/>
      <c r="HV83" s="1"/>
      <c r="HW83" s="1"/>
      <c r="HX83" s="1"/>
      <c r="HY83" s="1"/>
      <c r="HZ83" s="1"/>
      <c r="IA83" s="1"/>
      <c r="IB83" s="1"/>
      <c r="IC83" s="1"/>
      <c r="ID83" s="1"/>
      <c r="IE83" s="1"/>
      <c r="IF83" s="1"/>
      <c r="IG83" s="1"/>
      <c r="IH83" s="1"/>
      <c r="II83" s="1"/>
      <c r="IJ83" s="1"/>
      <c r="IK83" s="1"/>
      <c r="IL83" s="1"/>
      <c r="IM83" s="1"/>
      <c r="IN83" s="1"/>
      <c r="IO83" s="1"/>
      <c r="IP83" s="1"/>
      <c r="IQ83" s="1"/>
      <c r="IR83" s="1"/>
      <c r="IS83" s="1"/>
      <c r="IT83" s="1"/>
      <c r="IU83" s="1"/>
      <c r="IV83" s="1"/>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c r="NA83" s="1"/>
      <c r="NB83" s="1"/>
      <c r="NC83" s="1"/>
      <c r="ND83" s="1"/>
      <c r="NE83" s="1"/>
      <c r="NF83" s="1"/>
      <c r="NG83" s="1"/>
      <c r="NH83" s="1"/>
      <c r="NI83" s="1"/>
    </row>
  </sheetData>
  <mergeCells count="11">
    <mergeCell ref="NQ5:NQ6"/>
    <mergeCell ref="NR5:NR6"/>
    <mergeCell ref="NS5:NS6"/>
    <mergeCell ref="NT5:NT6"/>
    <mergeCell ref="NU5:NU6"/>
    <mergeCell ref="NP5:NP6"/>
    <mergeCell ref="NK5:NK6"/>
    <mergeCell ref="NL5:NL6"/>
    <mergeCell ref="NM5:NM6"/>
    <mergeCell ref="NN5:NN6"/>
    <mergeCell ref="NO5:NO6"/>
  </mergeCells>
  <conditionalFormatting sqref="NX21:NX35">
    <cfRule type="expression" dxfId="11" priority="1">
      <formula>NX21="No"</formula>
    </cfRule>
  </conditionalFormatting>
  <conditionalFormatting sqref="B6:NJ6">
    <cfRule type="expression" dxfId="10" priority="2">
      <formula>IF(VLOOKUP(B6,$NW$21:$NX$35,2,0)="No",TRUE,FALSE)</formula>
    </cfRule>
  </conditionalFormatting>
  <conditionalFormatting sqref="ME42:NI83 B8:NJ26 B27:MY35 NA27:NJ35 ME36:MY41 NA36:NI41 MZ27:MZ41">
    <cfRule type="expression" dxfId="9" priority="3" stopIfTrue="1">
      <formula>AND(B$5&lt;&gt;"",VLOOKUP(B$6,$NW$21:$NX$35,2,0)&lt;&gt;"Yes")</formula>
    </cfRule>
    <cfRule type="expression" dxfId="8" priority="4" stopIfTrue="1">
      <formula>ISNUMBER(MATCH(DATE($A$2,$A$1+$A$3-1,B$5),HolidayListNamedRange,0))</formula>
    </cfRule>
    <cfRule type="expression" dxfId="7" priority="5">
      <formula>OR(B8=$NX$8,B8=$NX$9,B8=$NX$10,B8=$NX$11,B8=$NX$12,B8=$NX$13,B8=$NX$14,B8=$NX$15)</formula>
    </cfRule>
    <cfRule type="expression" dxfId="6" priority="6">
      <formula>OR(B8=$NX$16,B8=$NX$17)</formula>
    </cfRule>
  </conditionalFormatting>
  <dataValidations count="3">
    <dataValidation type="list" allowBlank="1" showInputMessage="1" showErrorMessage="1" sqref="A1" xr:uid="{EE24DFC2-BA36-43CA-B014-A83B7EB1A3BD}">
      <formula1>"1,2,3,4,5,6,7,8,9,10,11,12"</formula1>
    </dataValidation>
    <dataValidation type="custom" allowBlank="1" showErrorMessage="1" errorTitle="Not a Valid Date" error="This isn't a valid Date" sqref="B8:MY35 NA8:NJ35 ME36:MY83 NA36:NI83 MZ8:MZ83" xr:uid="{BFCC2657-4FFB-4ED3-BC0C-8D706583E7B9}">
      <formula1>B$6&lt;&gt;""</formula1>
    </dataValidation>
    <dataValidation type="list" allowBlank="1" showInputMessage="1" showErrorMessage="1" sqref="NX21:NX35" xr:uid="{19BDE593-C661-4FD7-8A44-E46419DA36BE}">
      <formula1>"Yes, No"</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860B1-5D39-4827-91E7-1ABAE57E9AF0}">
  <sheetPr codeName="LeaveTracker2"/>
  <dimension ref="A1:ACG85"/>
  <sheetViews>
    <sheetView showGridLines="0" showWhiteSpace="0" zoomScaleNormal="100" zoomScaleSheetLayoutView="100" workbookViewId="0">
      <pane xSplit="1" ySplit="7" topLeftCell="B8" activePane="bottomRight" state="frozen"/>
      <selection pane="topRight" activeCell="B1" sqref="B1"/>
      <selection pane="bottomLeft" activeCell="A8" sqref="A8"/>
      <selection pane="bottomRight" activeCell="NW6" sqref="NW6:NX17"/>
    </sheetView>
  </sheetViews>
  <sheetFormatPr defaultRowHeight="15" x14ac:dyDescent="0.25"/>
  <cols>
    <col min="1" max="1" width="32.7109375" bestFit="1" customWidth="1"/>
    <col min="2" max="94" width="3.5703125" hidden="1" customWidth="1"/>
    <col min="95" max="95" width="9.28515625" hidden="1" customWidth="1"/>
    <col min="96" max="342" width="3.5703125" hidden="1" customWidth="1"/>
    <col min="343" max="373" width="3.5703125" customWidth="1"/>
    <col min="374" max="374" width="3.5703125" hidden="1" customWidth="1"/>
    <col min="375" max="375" width="8.42578125" customWidth="1"/>
    <col min="376" max="385" width="3.5703125" customWidth="1"/>
    <col min="386" max="386" width="3" customWidth="1"/>
    <col min="387" max="387" width="14.42578125" bestFit="1" customWidth="1"/>
    <col min="388" max="388" width="10.140625" bestFit="1" customWidth="1"/>
  </cols>
  <sheetData>
    <row r="1" spans="1:761" ht="15.75" x14ac:dyDescent="0.25">
      <c r="A1" s="9">
        <v>1</v>
      </c>
      <c r="B1" s="19"/>
    </row>
    <row r="2" spans="1:761" ht="15.75" x14ac:dyDescent="0.25">
      <c r="A2" s="9">
        <v>2025</v>
      </c>
      <c r="B2" s="19"/>
    </row>
    <row r="3" spans="1:761" ht="41.25" customHeight="1" x14ac:dyDescent="0.25">
      <c r="A3" s="12">
        <v>12</v>
      </c>
      <c r="B3" s="13" t="b">
        <f>AND(NOT(ISNUMBER(MATCH(DATE($A$2,INT((COLUMN()-1)/31.001)+$A$1,ROUNDUP(MOD(COLUMN()-1,31.001),0)),HolidayList[Date],0))),(VLOOKUP(VLOOKUP(WEEKDAY(DATE($A$2,INT((COLUMN()-1)/31.001)+$A$1,ROUNDUP(MOD(COLUMN()-1,31.001),0)),2),Sheet3!$D$1:$E$7,2,0),$NW$21:$NX$35,2,0)="Yes"))</f>
        <v>1</v>
      </c>
      <c r="C3" s="13" t="b">
        <f>AND(NOT(ISNUMBER(MATCH(DATE($A$2,INT((COLUMN()-1)/31.001)+$A$1,ROUNDUP(MOD(COLUMN()-1,31.001),0)),HolidayList[Date],0))),(VLOOKUP(VLOOKUP(WEEKDAY(DATE($A$2,INT((COLUMN()-1)/31.001)+$A$1,ROUNDUP(MOD(COLUMN()-1,31.001),0)),2),Sheet3!$D$1:$E$7,2,0),$NW$21:$NX$35,2,0)="Yes"))</f>
        <v>1</v>
      </c>
      <c r="D3" s="13" t="b">
        <f>AND(NOT(ISNUMBER(MATCH(DATE($A$2,INT((COLUMN()-1)/31.001)+$A$1,ROUNDUP(MOD(COLUMN()-1,31.001),0)),HolidayList[Date],0))),(VLOOKUP(VLOOKUP(WEEKDAY(DATE($A$2,INT((COLUMN()-1)/31.001)+$A$1,ROUNDUP(MOD(COLUMN()-1,31.001),0)),2),Sheet3!$D$1:$E$7,2,0),$NW$21:$NX$35,2,0)="Yes"))</f>
        <v>1</v>
      </c>
      <c r="E3" s="13" t="b">
        <f>AND(NOT(ISNUMBER(MATCH(DATE($A$2,INT((COLUMN()-1)/31.001)+$A$1,ROUNDUP(MOD(COLUMN()-1,31.001),0)),HolidayList[Date],0))),(VLOOKUP(VLOOKUP(WEEKDAY(DATE($A$2,INT((COLUMN()-1)/31.001)+$A$1,ROUNDUP(MOD(COLUMN()-1,31.001),0)),2),Sheet3!$D$1:$E$7,2,0),$NW$21:$NX$35,2,0)="Yes"))</f>
        <v>0</v>
      </c>
      <c r="F3" s="13" t="b">
        <f>AND(NOT(ISNUMBER(MATCH(DATE($A$2,INT((COLUMN()-1)/31.001)+$A$1,ROUNDUP(MOD(COLUMN()-1,31.001),0)),HolidayList[Date],0))),(VLOOKUP(VLOOKUP(WEEKDAY(DATE($A$2,INT((COLUMN()-1)/31.001)+$A$1,ROUNDUP(MOD(COLUMN()-1,31.001),0)),2),Sheet3!$D$1:$E$7,2,0),$NW$21:$NX$35,2,0)="Yes"))</f>
        <v>0</v>
      </c>
      <c r="G3" s="13" t="b">
        <f>AND(NOT(ISNUMBER(MATCH(DATE($A$2,INT((COLUMN()-1)/31.001)+$A$1,ROUNDUP(MOD(COLUMN()-1,31.001),0)),HolidayList[Date],0))),(VLOOKUP(VLOOKUP(WEEKDAY(DATE($A$2,INT((COLUMN()-1)/31.001)+$A$1,ROUNDUP(MOD(COLUMN()-1,31.001),0)),2),Sheet3!$D$1:$E$7,2,0),$NW$21:$NX$35,2,0)="Yes"))</f>
        <v>1</v>
      </c>
      <c r="H3" s="13" t="b">
        <f>AND(NOT(ISNUMBER(MATCH(DATE($A$2,INT((COLUMN()-1)/31.001)+$A$1,ROUNDUP(MOD(COLUMN()-1,31.001),0)),HolidayList[Date],0))),(VLOOKUP(VLOOKUP(WEEKDAY(DATE($A$2,INT((COLUMN()-1)/31.001)+$A$1,ROUNDUP(MOD(COLUMN()-1,31.001),0)),2),Sheet3!$D$1:$E$7,2,0),$NW$21:$NX$35,2,0)="Yes"))</f>
        <v>1</v>
      </c>
      <c r="I3" s="13" t="b">
        <f>AND(NOT(ISNUMBER(MATCH(DATE($A$2,INT((COLUMN()-1)/31.001)+$A$1,ROUNDUP(MOD(COLUMN()-1,31.001),0)),HolidayList[Date],0))),(VLOOKUP(VLOOKUP(WEEKDAY(DATE($A$2,INT((COLUMN()-1)/31.001)+$A$1,ROUNDUP(MOD(COLUMN()-1,31.001),0)),2),Sheet3!$D$1:$E$7,2,0),$NW$21:$NX$35,2,0)="Yes"))</f>
        <v>1</v>
      </c>
      <c r="J3" s="13" t="b">
        <f>AND(NOT(ISNUMBER(MATCH(DATE($A$2,INT((COLUMN()-1)/31.001)+$A$1,ROUNDUP(MOD(COLUMN()-1,31.001),0)),HolidayList[Date],0))),(VLOOKUP(VLOOKUP(WEEKDAY(DATE($A$2,INT((COLUMN()-1)/31.001)+$A$1,ROUNDUP(MOD(COLUMN()-1,31.001),0)),2),Sheet3!$D$1:$E$7,2,0),$NW$21:$NX$35,2,0)="Yes"))</f>
        <v>1</v>
      </c>
      <c r="K3" s="13" t="b">
        <f>AND(NOT(ISNUMBER(MATCH(DATE($A$2,INT((COLUMN()-1)/31.001)+$A$1,ROUNDUP(MOD(COLUMN()-1,31.001),0)),HolidayList[Date],0))),(VLOOKUP(VLOOKUP(WEEKDAY(DATE($A$2,INT((COLUMN()-1)/31.001)+$A$1,ROUNDUP(MOD(COLUMN()-1,31.001),0)),2),Sheet3!$D$1:$E$7,2,0),$NW$21:$NX$35,2,0)="Yes"))</f>
        <v>1</v>
      </c>
      <c r="L3" s="13" t="b">
        <f>AND(NOT(ISNUMBER(MATCH(DATE($A$2,INT((COLUMN()-1)/31.001)+$A$1,ROUNDUP(MOD(COLUMN()-1,31.001),0)),HolidayList[Date],0))),(VLOOKUP(VLOOKUP(WEEKDAY(DATE($A$2,INT((COLUMN()-1)/31.001)+$A$1,ROUNDUP(MOD(COLUMN()-1,31.001),0)),2),Sheet3!$D$1:$E$7,2,0),$NW$21:$NX$35,2,0)="Yes"))</f>
        <v>0</v>
      </c>
      <c r="M3" s="13" t="b">
        <f>AND(NOT(ISNUMBER(MATCH(DATE($A$2,INT((COLUMN()-1)/31.001)+$A$1,ROUNDUP(MOD(COLUMN()-1,31.001),0)),HolidayList[Date],0))),(VLOOKUP(VLOOKUP(WEEKDAY(DATE($A$2,INT((COLUMN()-1)/31.001)+$A$1,ROUNDUP(MOD(COLUMN()-1,31.001),0)),2),Sheet3!$D$1:$E$7,2,0),$NW$21:$NX$35,2,0)="Yes"))</f>
        <v>0</v>
      </c>
      <c r="N3" s="13" t="b">
        <f>AND(NOT(ISNUMBER(MATCH(DATE($A$2,INT((COLUMN()-1)/31.001)+$A$1,ROUNDUP(MOD(COLUMN()-1,31.001),0)),HolidayList[Date],0))),(VLOOKUP(VLOOKUP(WEEKDAY(DATE($A$2,INT((COLUMN()-1)/31.001)+$A$1,ROUNDUP(MOD(COLUMN()-1,31.001),0)),2),Sheet3!$D$1:$E$7,2,0),$NW$21:$NX$35,2,0)="Yes"))</f>
        <v>1</v>
      </c>
      <c r="O3" s="13" t="b">
        <f>AND(NOT(ISNUMBER(MATCH(DATE($A$2,INT((COLUMN()-1)/31.001)+$A$1,ROUNDUP(MOD(COLUMN()-1,31.001),0)),HolidayList[Date],0))),(VLOOKUP(VLOOKUP(WEEKDAY(DATE($A$2,INT((COLUMN()-1)/31.001)+$A$1,ROUNDUP(MOD(COLUMN()-1,31.001),0)),2),Sheet3!$D$1:$E$7,2,0),$NW$21:$NX$35,2,0)="Yes"))</f>
        <v>1</v>
      </c>
      <c r="P3" s="13" t="b">
        <f>AND(NOT(ISNUMBER(MATCH(DATE($A$2,INT((COLUMN()-1)/31.001)+$A$1,ROUNDUP(MOD(COLUMN()-1,31.001),0)),HolidayList[Date],0))),(VLOOKUP(VLOOKUP(WEEKDAY(DATE($A$2,INT((COLUMN()-1)/31.001)+$A$1,ROUNDUP(MOD(COLUMN()-1,31.001),0)),2),Sheet3!$D$1:$E$7,2,0),$NW$21:$NX$35,2,0)="Yes"))</f>
        <v>1</v>
      </c>
      <c r="Q3" s="13" t="b">
        <f>AND(NOT(ISNUMBER(MATCH(DATE($A$2,INT((COLUMN()-1)/31.001)+$A$1,ROUNDUP(MOD(COLUMN()-1,31.001),0)),HolidayList[Date],0))),(VLOOKUP(VLOOKUP(WEEKDAY(DATE($A$2,INT((COLUMN()-1)/31.001)+$A$1,ROUNDUP(MOD(COLUMN()-1,31.001),0)),2),Sheet3!$D$1:$E$7,2,0),$NW$21:$NX$35,2,0)="Yes"))</f>
        <v>1</v>
      </c>
      <c r="R3" s="13" t="b">
        <f>AND(NOT(ISNUMBER(MATCH(DATE($A$2,INT((COLUMN()-1)/31.001)+$A$1,ROUNDUP(MOD(COLUMN()-1,31.001),0)),HolidayList[Date],0))),(VLOOKUP(VLOOKUP(WEEKDAY(DATE($A$2,INT((COLUMN()-1)/31.001)+$A$1,ROUNDUP(MOD(COLUMN()-1,31.001),0)),2),Sheet3!$D$1:$E$7,2,0),$NW$21:$NX$35,2,0)="Yes"))</f>
        <v>1</v>
      </c>
      <c r="S3" s="13" t="b">
        <f>AND(NOT(ISNUMBER(MATCH(DATE($A$2,INT((COLUMN()-1)/31.001)+$A$1,ROUNDUP(MOD(COLUMN()-1,31.001),0)),HolidayList[Date],0))),(VLOOKUP(VLOOKUP(WEEKDAY(DATE($A$2,INT((COLUMN()-1)/31.001)+$A$1,ROUNDUP(MOD(COLUMN()-1,31.001),0)),2),Sheet3!$D$1:$E$7,2,0),$NW$21:$NX$35,2,0)="Yes"))</f>
        <v>0</v>
      </c>
      <c r="T3" s="13" t="b">
        <f>AND(NOT(ISNUMBER(MATCH(DATE($A$2,INT((COLUMN()-1)/31.001)+$A$1,ROUNDUP(MOD(COLUMN()-1,31.001),0)),HolidayList[Date],0))),(VLOOKUP(VLOOKUP(WEEKDAY(DATE($A$2,INT((COLUMN()-1)/31.001)+$A$1,ROUNDUP(MOD(COLUMN()-1,31.001),0)),2),Sheet3!$D$1:$E$7,2,0),$NW$21:$NX$35,2,0)="Yes"))</f>
        <v>0</v>
      </c>
      <c r="U3" s="13" t="b">
        <f>AND(NOT(ISNUMBER(MATCH(DATE($A$2,INT((COLUMN()-1)/31.001)+$A$1,ROUNDUP(MOD(COLUMN()-1,31.001),0)),HolidayList[Date],0))),(VLOOKUP(VLOOKUP(WEEKDAY(DATE($A$2,INT((COLUMN()-1)/31.001)+$A$1,ROUNDUP(MOD(COLUMN()-1,31.001),0)),2),Sheet3!$D$1:$E$7,2,0),$NW$21:$NX$35,2,0)="Yes"))</f>
        <v>1</v>
      </c>
      <c r="V3" s="13" t="b">
        <f>AND(NOT(ISNUMBER(MATCH(DATE($A$2,INT((COLUMN()-1)/31.001)+$A$1,ROUNDUP(MOD(COLUMN()-1,31.001),0)),HolidayList[Date],0))),(VLOOKUP(VLOOKUP(WEEKDAY(DATE($A$2,INT((COLUMN()-1)/31.001)+$A$1,ROUNDUP(MOD(COLUMN()-1,31.001),0)),2),Sheet3!$D$1:$E$7,2,0),$NW$21:$NX$35,2,0)="Yes"))</f>
        <v>1</v>
      </c>
      <c r="W3" s="13" t="b">
        <f>AND(NOT(ISNUMBER(MATCH(DATE($A$2,INT((COLUMN()-1)/31.001)+$A$1,ROUNDUP(MOD(COLUMN()-1,31.001),0)),HolidayList[Date],0))),(VLOOKUP(VLOOKUP(WEEKDAY(DATE($A$2,INT((COLUMN()-1)/31.001)+$A$1,ROUNDUP(MOD(COLUMN()-1,31.001),0)),2),Sheet3!$D$1:$E$7,2,0),$NW$21:$NX$35,2,0)="Yes"))</f>
        <v>1</v>
      </c>
      <c r="X3" s="13" t="b">
        <f>AND(NOT(ISNUMBER(MATCH(DATE($A$2,INT((COLUMN()-1)/31.001)+$A$1,ROUNDUP(MOD(COLUMN()-1,31.001),0)),HolidayList[Date],0))),(VLOOKUP(VLOOKUP(WEEKDAY(DATE($A$2,INT((COLUMN()-1)/31.001)+$A$1,ROUNDUP(MOD(COLUMN()-1,31.001),0)),2),Sheet3!$D$1:$E$7,2,0),$NW$21:$NX$35,2,0)="Yes"))</f>
        <v>1</v>
      </c>
      <c r="Y3" s="13" t="b">
        <f>AND(NOT(ISNUMBER(MATCH(DATE($A$2,INT((COLUMN()-1)/31.001)+$A$1,ROUNDUP(MOD(COLUMN()-1,31.001),0)),HolidayList[Date],0))),(VLOOKUP(VLOOKUP(WEEKDAY(DATE($A$2,INT((COLUMN()-1)/31.001)+$A$1,ROUNDUP(MOD(COLUMN()-1,31.001),0)),2),Sheet3!$D$1:$E$7,2,0),$NW$21:$NX$35,2,0)="Yes"))</f>
        <v>1</v>
      </c>
      <c r="Z3" s="13" t="b">
        <f>AND(NOT(ISNUMBER(MATCH(DATE($A$2,INT((COLUMN()-1)/31.001)+$A$1,ROUNDUP(MOD(COLUMN()-1,31.001),0)),HolidayList[Date],0))),(VLOOKUP(VLOOKUP(WEEKDAY(DATE($A$2,INT((COLUMN()-1)/31.001)+$A$1,ROUNDUP(MOD(COLUMN()-1,31.001),0)),2),Sheet3!$D$1:$E$7,2,0),$NW$21:$NX$35,2,0)="Yes"))</f>
        <v>0</v>
      </c>
      <c r="AA3" s="13" t="b">
        <f>AND(NOT(ISNUMBER(MATCH(DATE($A$2,INT((COLUMN()-1)/31.001)+$A$1,ROUNDUP(MOD(COLUMN()-1,31.001),0)),HolidayList[Date],0))),(VLOOKUP(VLOOKUP(WEEKDAY(DATE($A$2,INT((COLUMN()-1)/31.001)+$A$1,ROUNDUP(MOD(COLUMN()-1,31.001),0)),2),Sheet3!$D$1:$E$7,2,0),$NW$21:$NX$35,2,0)="Yes"))</f>
        <v>0</v>
      </c>
      <c r="AB3" s="13" t="b">
        <f>AND(NOT(ISNUMBER(MATCH(DATE($A$2,INT((COLUMN()-1)/31.001)+$A$1,ROUNDUP(MOD(COLUMN()-1,31.001),0)),HolidayList[Date],0))),(VLOOKUP(VLOOKUP(WEEKDAY(DATE($A$2,INT((COLUMN()-1)/31.001)+$A$1,ROUNDUP(MOD(COLUMN()-1,31.001),0)),2),Sheet3!$D$1:$E$7,2,0),$NW$21:$NX$35,2,0)="Yes"))</f>
        <v>1</v>
      </c>
      <c r="AC3" s="13" t="b">
        <f>AND(NOT(ISNUMBER(MATCH(DATE($A$2,INT((COLUMN()-1)/31.001)+$A$1,ROUNDUP(MOD(COLUMN()-1,31.001),0)),HolidayList[Date],0))),(VLOOKUP(VLOOKUP(WEEKDAY(DATE($A$2,INT((COLUMN()-1)/31.001)+$A$1,ROUNDUP(MOD(COLUMN()-1,31.001),0)),2),Sheet3!$D$1:$E$7,2,0),$NW$21:$NX$35,2,0)="Yes"))</f>
        <v>1</v>
      </c>
      <c r="AD3" s="13" t="b">
        <f>AND(NOT(ISNUMBER(MATCH(DATE($A$2,INT((COLUMN()-1)/31.001)+$A$1,ROUNDUP(MOD(COLUMN()-1,31.001),0)),HolidayList[Date],0))),(VLOOKUP(VLOOKUP(WEEKDAY(DATE($A$2,INT((COLUMN()-1)/31.001)+$A$1,ROUNDUP(MOD(COLUMN()-1,31.001),0)),2),Sheet3!$D$1:$E$7,2,0),$NW$21:$NX$35,2,0)="Yes"))</f>
        <v>1</v>
      </c>
      <c r="AE3" s="13" t="b">
        <f>AND(NOT(ISNUMBER(MATCH(DATE($A$2,INT((COLUMN()-1)/31.001)+$A$1,ROUNDUP(MOD(COLUMN()-1,31.001),0)),HolidayList[Date],0))),(VLOOKUP(VLOOKUP(WEEKDAY(DATE($A$2,INT((COLUMN()-1)/31.001)+$A$1,ROUNDUP(MOD(COLUMN()-1,31.001),0)),2),Sheet3!$D$1:$E$7,2,0),$NW$21:$NX$35,2,0)="Yes"))</f>
        <v>1</v>
      </c>
      <c r="AF3" s="13" t="b">
        <f>AND(NOT(ISNUMBER(MATCH(DATE($A$2,INT((COLUMN()-1)/31.001)+$A$1,ROUNDUP(MOD(COLUMN()-1,31.001),0)),HolidayList[Date],0))),(VLOOKUP(VLOOKUP(WEEKDAY(DATE($A$2,INT((COLUMN()-1)/31.001)+$A$1,ROUNDUP(MOD(COLUMN()-1,31.001),0)),2),Sheet3!$D$1:$E$7,2,0),$NW$21:$NX$35,2,0)="Yes"))</f>
        <v>1</v>
      </c>
      <c r="AG3" s="13" t="b">
        <f>AND(NOT(ISNUMBER(MATCH(DATE($A$2,INT((COLUMN()-1)/31.001)+$A$1,ROUNDUP(MOD(COLUMN()-1,31.001),0)),HolidayList[Date],0))),(VLOOKUP(VLOOKUP(WEEKDAY(DATE($A$2,INT((COLUMN()-1)/31.001)+$A$1,ROUNDUP(MOD(COLUMN()-1,31.001),0)),2),Sheet3!$D$1:$E$7,2,0),$NW$21:$NX$35,2,0)="Yes"))</f>
        <v>0</v>
      </c>
      <c r="AH3" s="13" t="b">
        <f>AND(NOT(ISNUMBER(MATCH(DATE($A$2,INT((COLUMN()-1)/31.001)+$A$1,ROUNDUP(MOD(COLUMN()-1,31.001),0)),HolidayList[Date],0))),(VLOOKUP(VLOOKUP(WEEKDAY(DATE($A$2,INT((COLUMN()-1)/31.001)+$A$1,ROUNDUP(MOD(COLUMN()-1,31.001),0)),2),Sheet3!$D$1:$E$7,2,0),$NW$21:$NX$35,2,0)="Yes"))</f>
        <v>0</v>
      </c>
      <c r="AI3" s="13" t="b">
        <f>AND(NOT(ISNUMBER(MATCH(DATE($A$2,INT((COLUMN()-1)/31.001)+$A$1,ROUNDUP(MOD(COLUMN()-1,31.001),0)),HolidayList[Date],0))),(VLOOKUP(VLOOKUP(WEEKDAY(DATE($A$2,INT((COLUMN()-1)/31.001)+$A$1,ROUNDUP(MOD(COLUMN()-1,31.001),0)),2),Sheet3!$D$1:$E$7,2,0),$NW$21:$NX$35,2,0)="Yes"))</f>
        <v>1</v>
      </c>
      <c r="AJ3" s="13" t="b">
        <f>AND(NOT(ISNUMBER(MATCH(DATE($A$2,INT((COLUMN()-1)/31.001)+$A$1,ROUNDUP(MOD(COLUMN()-1,31.001),0)),HolidayList[Date],0))),(VLOOKUP(VLOOKUP(WEEKDAY(DATE($A$2,INT((COLUMN()-1)/31.001)+$A$1,ROUNDUP(MOD(COLUMN()-1,31.001),0)),2),Sheet3!$D$1:$E$7,2,0),$NW$21:$NX$35,2,0)="Yes"))</f>
        <v>1</v>
      </c>
      <c r="AK3" s="13" t="b">
        <f>AND(NOT(ISNUMBER(MATCH(DATE($A$2,INT((COLUMN()-1)/31.001)+$A$1,ROUNDUP(MOD(COLUMN()-1,31.001),0)),HolidayList[Date],0))),(VLOOKUP(VLOOKUP(WEEKDAY(DATE($A$2,INT((COLUMN()-1)/31.001)+$A$1,ROUNDUP(MOD(COLUMN()-1,31.001),0)),2),Sheet3!$D$1:$E$7,2,0),$NW$21:$NX$35,2,0)="Yes"))</f>
        <v>1</v>
      </c>
      <c r="AL3" s="13" t="b">
        <f>AND(NOT(ISNUMBER(MATCH(DATE($A$2,INT((COLUMN()-1)/31.001)+$A$1,ROUNDUP(MOD(COLUMN()-1,31.001),0)),HolidayList[Date],0))),(VLOOKUP(VLOOKUP(WEEKDAY(DATE($A$2,INT((COLUMN()-1)/31.001)+$A$1,ROUNDUP(MOD(COLUMN()-1,31.001),0)),2),Sheet3!$D$1:$E$7,2,0),$NW$21:$NX$35,2,0)="Yes"))</f>
        <v>1</v>
      </c>
      <c r="AM3" s="13" t="b">
        <f>AND(NOT(ISNUMBER(MATCH(DATE($A$2,INT((COLUMN()-1)/31.001)+$A$1,ROUNDUP(MOD(COLUMN()-1,31.001),0)),HolidayList[Date],0))),(VLOOKUP(VLOOKUP(WEEKDAY(DATE($A$2,INT((COLUMN()-1)/31.001)+$A$1,ROUNDUP(MOD(COLUMN()-1,31.001),0)),2),Sheet3!$D$1:$E$7,2,0),$NW$21:$NX$35,2,0)="Yes"))</f>
        <v>1</v>
      </c>
      <c r="AN3" s="13" t="b">
        <f>AND(NOT(ISNUMBER(MATCH(DATE($A$2,INT((COLUMN()-1)/31.001)+$A$1,ROUNDUP(MOD(COLUMN()-1,31.001),0)),HolidayList[Date],0))),(VLOOKUP(VLOOKUP(WEEKDAY(DATE($A$2,INT((COLUMN()-1)/31.001)+$A$1,ROUNDUP(MOD(COLUMN()-1,31.001),0)),2),Sheet3!$D$1:$E$7,2,0),$NW$21:$NX$35,2,0)="Yes"))</f>
        <v>0</v>
      </c>
      <c r="AO3" s="13" t="b">
        <f>AND(NOT(ISNUMBER(MATCH(DATE($A$2,INT((COLUMN()-1)/31.001)+$A$1,ROUNDUP(MOD(COLUMN()-1,31.001),0)),HolidayList[Date],0))),(VLOOKUP(VLOOKUP(WEEKDAY(DATE($A$2,INT((COLUMN()-1)/31.001)+$A$1,ROUNDUP(MOD(COLUMN()-1,31.001),0)),2),Sheet3!$D$1:$E$7,2,0),$NW$21:$NX$35,2,0)="Yes"))</f>
        <v>0</v>
      </c>
      <c r="AP3" s="13" t="b">
        <f>AND(NOT(ISNUMBER(MATCH(DATE($A$2,INT((COLUMN()-1)/31.001)+$A$1,ROUNDUP(MOD(COLUMN()-1,31.001),0)),HolidayList[Date],0))),(VLOOKUP(VLOOKUP(WEEKDAY(DATE($A$2,INT((COLUMN()-1)/31.001)+$A$1,ROUNDUP(MOD(COLUMN()-1,31.001),0)),2),Sheet3!$D$1:$E$7,2,0),$NW$21:$NX$35,2,0)="Yes"))</f>
        <v>1</v>
      </c>
      <c r="AQ3" s="13" t="b">
        <f>AND(NOT(ISNUMBER(MATCH(DATE($A$2,INT((COLUMN()-1)/31.001)+$A$1,ROUNDUP(MOD(COLUMN()-1,31.001),0)),HolidayList[Date],0))),(VLOOKUP(VLOOKUP(WEEKDAY(DATE($A$2,INT((COLUMN()-1)/31.001)+$A$1,ROUNDUP(MOD(COLUMN()-1,31.001),0)),2),Sheet3!$D$1:$E$7,2,0),$NW$21:$NX$35,2,0)="Yes"))</f>
        <v>1</v>
      </c>
      <c r="AR3" s="13" t="b">
        <f>AND(NOT(ISNUMBER(MATCH(DATE($A$2,INT((COLUMN()-1)/31.001)+$A$1,ROUNDUP(MOD(COLUMN()-1,31.001),0)),HolidayList[Date],0))),(VLOOKUP(VLOOKUP(WEEKDAY(DATE($A$2,INT((COLUMN()-1)/31.001)+$A$1,ROUNDUP(MOD(COLUMN()-1,31.001),0)),2),Sheet3!$D$1:$E$7,2,0),$NW$21:$NX$35,2,0)="Yes"))</f>
        <v>1</v>
      </c>
      <c r="AS3" s="13" t="b">
        <f>AND(NOT(ISNUMBER(MATCH(DATE($A$2,INT((COLUMN()-1)/31.001)+$A$1,ROUNDUP(MOD(COLUMN()-1,31.001),0)),HolidayList[Date],0))),(VLOOKUP(VLOOKUP(WEEKDAY(DATE($A$2,INT((COLUMN()-1)/31.001)+$A$1,ROUNDUP(MOD(COLUMN()-1,31.001),0)),2),Sheet3!$D$1:$E$7,2,0),$NW$21:$NX$35,2,0)="Yes"))</f>
        <v>1</v>
      </c>
      <c r="AT3" s="13" t="b">
        <f>AND(NOT(ISNUMBER(MATCH(DATE($A$2,INT((COLUMN()-1)/31.001)+$A$1,ROUNDUP(MOD(COLUMN()-1,31.001),0)),HolidayList[Date],0))),(VLOOKUP(VLOOKUP(WEEKDAY(DATE($A$2,INT((COLUMN()-1)/31.001)+$A$1,ROUNDUP(MOD(COLUMN()-1,31.001),0)),2),Sheet3!$D$1:$E$7,2,0),$NW$21:$NX$35,2,0)="Yes"))</f>
        <v>1</v>
      </c>
      <c r="AU3" s="13" t="b">
        <f>AND(NOT(ISNUMBER(MATCH(DATE($A$2,INT((COLUMN()-1)/31.001)+$A$1,ROUNDUP(MOD(COLUMN()-1,31.001),0)),HolidayList[Date],0))),(VLOOKUP(VLOOKUP(WEEKDAY(DATE($A$2,INT((COLUMN()-1)/31.001)+$A$1,ROUNDUP(MOD(COLUMN()-1,31.001),0)),2),Sheet3!$D$1:$E$7,2,0),$NW$21:$NX$35,2,0)="Yes"))</f>
        <v>0</v>
      </c>
      <c r="AV3" s="13" t="b">
        <f>AND(NOT(ISNUMBER(MATCH(DATE($A$2,INT((COLUMN()-1)/31.001)+$A$1,ROUNDUP(MOD(COLUMN()-1,31.001),0)),HolidayList[Date],0))),(VLOOKUP(VLOOKUP(WEEKDAY(DATE($A$2,INT((COLUMN()-1)/31.001)+$A$1,ROUNDUP(MOD(COLUMN()-1,31.001),0)),2),Sheet3!$D$1:$E$7,2,0),$NW$21:$NX$35,2,0)="Yes"))</f>
        <v>0</v>
      </c>
      <c r="AW3" s="13" t="b">
        <f>AND(NOT(ISNUMBER(MATCH(DATE($A$2,INT((COLUMN()-1)/31.001)+$A$1,ROUNDUP(MOD(COLUMN()-1,31.001),0)),HolidayList[Date],0))),(VLOOKUP(VLOOKUP(WEEKDAY(DATE($A$2,INT((COLUMN()-1)/31.001)+$A$1,ROUNDUP(MOD(COLUMN()-1,31.001),0)),2),Sheet3!$D$1:$E$7,2,0),$NW$21:$NX$35,2,0)="Yes"))</f>
        <v>1</v>
      </c>
      <c r="AX3" s="13" t="b">
        <f>AND(NOT(ISNUMBER(MATCH(DATE($A$2,INT((COLUMN()-1)/31.001)+$A$1,ROUNDUP(MOD(COLUMN()-1,31.001),0)),HolidayList[Date],0))),(VLOOKUP(VLOOKUP(WEEKDAY(DATE($A$2,INT((COLUMN()-1)/31.001)+$A$1,ROUNDUP(MOD(COLUMN()-1,31.001),0)),2),Sheet3!$D$1:$E$7,2,0),$NW$21:$NX$35,2,0)="Yes"))</f>
        <v>1</v>
      </c>
      <c r="AY3" s="13" t="b">
        <f>AND(NOT(ISNUMBER(MATCH(DATE($A$2,INT((COLUMN()-1)/31.001)+$A$1,ROUNDUP(MOD(COLUMN()-1,31.001),0)),HolidayList[Date],0))),(VLOOKUP(VLOOKUP(WEEKDAY(DATE($A$2,INT((COLUMN()-1)/31.001)+$A$1,ROUNDUP(MOD(COLUMN()-1,31.001),0)),2),Sheet3!$D$1:$E$7,2,0),$NW$21:$NX$35,2,0)="Yes"))</f>
        <v>1</v>
      </c>
      <c r="AZ3" s="13" t="b">
        <f>AND(NOT(ISNUMBER(MATCH(DATE($A$2,INT((COLUMN()-1)/31.001)+$A$1,ROUNDUP(MOD(COLUMN()-1,31.001),0)),HolidayList[Date],0))),(VLOOKUP(VLOOKUP(WEEKDAY(DATE($A$2,INT((COLUMN()-1)/31.001)+$A$1,ROUNDUP(MOD(COLUMN()-1,31.001),0)),2),Sheet3!$D$1:$E$7,2,0),$NW$21:$NX$35,2,0)="Yes"))</f>
        <v>1</v>
      </c>
      <c r="BA3" s="13" t="b">
        <f>AND(NOT(ISNUMBER(MATCH(DATE($A$2,INT((COLUMN()-1)/31.001)+$A$1,ROUNDUP(MOD(COLUMN()-1,31.001),0)),HolidayList[Date],0))),(VLOOKUP(VLOOKUP(WEEKDAY(DATE($A$2,INT((COLUMN()-1)/31.001)+$A$1,ROUNDUP(MOD(COLUMN()-1,31.001),0)),2),Sheet3!$D$1:$E$7,2,0),$NW$21:$NX$35,2,0)="Yes"))</f>
        <v>1</v>
      </c>
      <c r="BB3" s="13" t="b">
        <f>AND(NOT(ISNUMBER(MATCH(DATE($A$2,INT((COLUMN()-1)/31.001)+$A$1,ROUNDUP(MOD(COLUMN()-1,31.001),0)),HolidayList[Date],0))),(VLOOKUP(VLOOKUP(WEEKDAY(DATE($A$2,INT((COLUMN()-1)/31.001)+$A$1,ROUNDUP(MOD(COLUMN()-1,31.001),0)),2),Sheet3!$D$1:$E$7,2,0),$NW$21:$NX$35,2,0)="Yes"))</f>
        <v>0</v>
      </c>
      <c r="BC3" s="13" t="b">
        <f>AND(NOT(ISNUMBER(MATCH(DATE($A$2,INT((COLUMN()-1)/31.001)+$A$1,ROUNDUP(MOD(COLUMN()-1,31.001),0)),HolidayList[Date],0))),(VLOOKUP(VLOOKUP(WEEKDAY(DATE($A$2,INT((COLUMN()-1)/31.001)+$A$1,ROUNDUP(MOD(COLUMN()-1,31.001),0)),2),Sheet3!$D$1:$E$7,2,0),$NW$21:$NX$35,2,0)="Yes"))</f>
        <v>0</v>
      </c>
      <c r="BD3" s="13" t="b">
        <f>AND(NOT(ISNUMBER(MATCH(DATE($A$2,INT((COLUMN()-1)/31.001)+$A$1,ROUNDUP(MOD(COLUMN()-1,31.001),0)),HolidayList[Date],0))),(VLOOKUP(VLOOKUP(WEEKDAY(DATE($A$2,INT((COLUMN()-1)/31.001)+$A$1,ROUNDUP(MOD(COLUMN()-1,31.001),0)),2),Sheet3!$D$1:$E$7,2,0),$NW$21:$NX$35,2,0)="Yes"))</f>
        <v>1</v>
      </c>
      <c r="BE3" s="13" t="b">
        <f>AND(NOT(ISNUMBER(MATCH(DATE($A$2,INT((COLUMN()-1)/31.001)+$A$1,ROUNDUP(MOD(COLUMN()-1,31.001),0)),HolidayList[Date],0))),(VLOOKUP(VLOOKUP(WEEKDAY(DATE($A$2,INT((COLUMN()-1)/31.001)+$A$1,ROUNDUP(MOD(COLUMN()-1,31.001),0)),2),Sheet3!$D$1:$E$7,2,0),$NW$21:$NX$35,2,0)="Yes"))</f>
        <v>1</v>
      </c>
      <c r="BF3" s="13" t="b">
        <f>AND(NOT(ISNUMBER(MATCH(DATE($A$2,INT((COLUMN()-1)/31.001)+$A$1,ROUNDUP(MOD(COLUMN()-1,31.001),0)),HolidayList[Date],0))),(VLOOKUP(VLOOKUP(WEEKDAY(DATE($A$2,INT((COLUMN()-1)/31.001)+$A$1,ROUNDUP(MOD(COLUMN()-1,31.001),0)),2),Sheet3!$D$1:$E$7,2,0),$NW$21:$NX$35,2,0)="Yes"))</f>
        <v>1</v>
      </c>
      <c r="BG3" s="13" t="b">
        <f>AND(NOT(ISNUMBER(MATCH(DATE($A$2,INT((COLUMN()-1)/31.001)+$A$1,ROUNDUP(MOD(COLUMN()-1,31.001),0)),HolidayList[Date],0))),(VLOOKUP(VLOOKUP(WEEKDAY(DATE($A$2,INT((COLUMN()-1)/31.001)+$A$1,ROUNDUP(MOD(COLUMN()-1,31.001),0)),2),Sheet3!$D$1:$E$7,2,0),$NW$21:$NX$35,2,0)="Yes"))</f>
        <v>1</v>
      </c>
      <c r="BH3" s="13" t="b">
        <f>AND(NOT(ISNUMBER(MATCH(DATE($A$2,INT((COLUMN()-1)/31.001)+$A$1,ROUNDUP(MOD(COLUMN()-1,31.001),0)),HolidayList[Date],0))),(VLOOKUP(VLOOKUP(WEEKDAY(DATE($A$2,INT((COLUMN()-1)/31.001)+$A$1,ROUNDUP(MOD(COLUMN()-1,31.001),0)),2),Sheet3!$D$1:$E$7,2,0),$NW$21:$NX$35,2,0)="Yes"))</f>
        <v>1</v>
      </c>
      <c r="BI3" s="13" t="b">
        <f>AND(NOT(ISNUMBER(MATCH(DATE($A$2,INT((COLUMN()-1)/31.001)+$A$1,ROUNDUP(MOD(COLUMN()-1,31.001),0)),HolidayList[Date],0))),(VLOOKUP(VLOOKUP(WEEKDAY(DATE($A$2,INT((COLUMN()-1)/31.001)+$A$1,ROUNDUP(MOD(COLUMN()-1,31.001),0)),2),Sheet3!$D$1:$E$7,2,0),$NW$21:$NX$35,2,0)="Yes"))</f>
        <v>0</v>
      </c>
      <c r="BJ3" s="13" t="b">
        <f>AND(NOT(ISNUMBER(MATCH(DATE($A$2,INT((COLUMN()-1)/31.001)+$A$1,ROUNDUP(MOD(COLUMN()-1,31.001),0)),HolidayList[Date],0))),(VLOOKUP(VLOOKUP(WEEKDAY(DATE($A$2,INT((COLUMN()-1)/31.001)+$A$1,ROUNDUP(MOD(COLUMN()-1,31.001),0)),2),Sheet3!$D$1:$E$7,2,0),$NW$21:$NX$35,2,0)="Yes"))</f>
        <v>0</v>
      </c>
      <c r="BK3" s="13" t="b">
        <f>AND(NOT(ISNUMBER(MATCH(DATE($A$2,INT((COLUMN()-1)/31.001)+$A$1,ROUNDUP(MOD(COLUMN()-1,31.001),0)),HolidayList[Date],0))),(VLOOKUP(VLOOKUP(WEEKDAY(DATE($A$2,INT((COLUMN()-1)/31.001)+$A$1,ROUNDUP(MOD(COLUMN()-1,31.001),0)),2),Sheet3!$D$1:$E$7,2,0),$NW$21:$NX$35,2,0)="Yes"))</f>
        <v>1</v>
      </c>
      <c r="BL3" s="13" t="b">
        <f>AND(NOT(ISNUMBER(MATCH(DATE($A$2,INT((COLUMN()-1)/31.001)+$A$1,ROUNDUP(MOD(COLUMN()-1,31.001),0)),HolidayList[Date],0))),(VLOOKUP(VLOOKUP(WEEKDAY(DATE($A$2,INT((COLUMN()-1)/31.001)+$A$1,ROUNDUP(MOD(COLUMN()-1,31.001),0)),2),Sheet3!$D$1:$E$7,2,0),$NW$21:$NX$35,2,0)="Yes"))</f>
        <v>0</v>
      </c>
      <c r="BM3" s="13" t="b">
        <f>AND(NOT(ISNUMBER(MATCH(DATE($A$2,INT((COLUMN()-1)/31.001)+$A$1,ROUNDUP(MOD(COLUMN()-1,31.001),0)),HolidayList[Date],0))),(VLOOKUP(VLOOKUP(WEEKDAY(DATE($A$2,INT((COLUMN()-1)/31.001)+$A$1,ROUNDUP(MOD(COLUMN()-1,31.001),0)),2),Sheet3!$D$1:$E$7,2,0),$NW$21:$NX$35,2,0)="Yes"))</f>
        <v>0</v>
      </c>
      <c r="BN3" s="13" t="b">
        <f>AND(NOT(ISNUMBER(MATCH(DATE($A$2,INT((COLUMN()-1)/31.001)+$A$1,ROUNDUP(MOD(COLUMN()-1,31.001),0)),HolidayList[Date],0))),(VLOOKUP(VLOOKUP(WEEKDAY(DATE($A$2,INT((COLUMN()-1)/31.001)+$A$1,ROUNDUP(MOD(COLUMN()-1,31.001),0)),2),Sheet3!$D$1:$E$7,2,0),$NW$21:$NX$35,2,0)="Yes"))</f>
        <v>1</v>
      </c>
      <c r="BO3" s="13" t="b">
        <f>AND(NOT(ISNUMBER(MATCH(DATE($A$2,INT((COLUMN()-1)/31.001)+$A$1,ROUNDUP(MOD(COLUMN()-1,31.001),0)),HolidayList[Date],0))),(VLOOKUP(VLOOKUP(WEEKDAY(DATE($A$2,INT((COLUMN()-1)/31.001)+$A$1,ROUNDUP(MOD(COLUMN()-1,31.001),0)),2),Sheet3!$D$1:$E$7,2,0),$NW$21:$NX$35,2,0)="Yes"))</f>
        <v>1</v>
      </c>
      <c r="BP3" s="13" t="b">
        <f>AND(NOT(ISNUMBER(MATCH(DATE($A$2,INT((COLUMN()-1)/31.001)+$A$1,ROUNDUP(MOD(COLUMN()-1,31.001),0)),HolidayList[Date],0))),(VLOOKUP(VLOOKUP(WEEKDAY(DATE($A$2,INT((COLUMN()-1)/31.001)+$A$1,ROUNDUP(MOD(COLUMN()-1,31.001),0)),2),Sheet3!$D$1:$E$7,2,0),$NW$21:$NX$35,2,0)="Yes"))</f>
        <v>1</v>
      </c>
      <c r="BQ3" s="13" t="b">
        <f>AND(NOT(ISNUMBER(MATCH(DATE($A$2,INT((COLUMN()-1)/31.001)+$A$1,ROUNDUP(MOD(COLUMN()-1,31.001),0)),HolidayList[Date],0))),(VLOOKUP(VLOOKUP(WEEKDAY(DATE($A$2,INT((COLUMN()-1)/31.001)+$A$1,ROUNDUP(MOD(COLUMN()-1,31.001),0)),2),Sheet3!$D$1:$E$7,2,0),$NW$21:$NX$35,2,0)="Yes"))</f>
        <v>1</v>
      </c>
      <c r="BR3" s="13" t="b">
        <f>AND(NOT(ISNUMBER(MATCH(DATE($A$2,INT((COLUMN()-1)/31.001)+$A$1,ROUNDUP(MOD(COLUMN()-1,31.001),0)),HolidayList[Date],0))),(VLOOKUP(VLOOKUP(WEEKDAY(DATE($A$2,INT((COLUMN()-1)/31.001)+$A$1,ROUNDUP(MOD(COLUMN()-1,31.001),0)),2),Sheet3!$D$1:$E$7,2,0),$NW$21:$NX$35,2,0)="Yes"))</f>
        <v>1</v>
      </c>
      <c r="BS3" s="13" t="b">
        <f>AND(NOT(ISNUMBER(MATCH(DATE($A$2,INT((COLUMN()-1)/31.001)+$A$1,ROUNDUP(MOD(COLUMN()-1,31.001),0)),HolidayList[Date],0))),(VLOOKUP(VLOOKUP(WEEKDAY(DATE($A$2,INT((COLUMN()-1)/31.001)+$A$1,ROUNDUP(MOD(COLUMN()-1,31.001),0)),2),Sheet3!$D$1:$E$7,2,0),$NW$21:$NX$35,2,0)="Yes"))</f>
        <v>0</v>
      </c>
      <c r="BT3" s="13" t="b">
        <f>AND(NOT(ISNUMBER(MATCH(DATE($A$2,INT((COLUMN()-1)/31.001)+$A$1,ROUNDUP(MOD(COLUMN()-1,31.001),0)),HolidayList[Date],0))),(VLOOKUP(VLOOKUP(WEEKDAY(DATE($A$2,INT((COLUMN()-1)/31.001)+$A$1,ROUNDUP(MOD(COLUMN()-1,31.001),0)),2),Sheet3!$D$1:$E$7,2,0),$NW$21:$NX$35,2,0)="Yes"))</f>
        <v>0</v>
      </c>
      <c r="BU3" s="13" t="b">
        <f>AND(NOT(ISNUMBER(MATCH(DATE($A$2,INT((COLUMN()-1)/31.001)+$A$1,ROUNDUP(MOD(COLUMN()-1,31.001),0)),HolidayList[Date],0))),(VLOOKUP(VLOOKUP(WEEKDAY(DATE($A$2,INT((COLUMN()-1)/31.001)+$A$1,ROUNDUP(MOD(COLUMN()-1,31.001),0)),2),Sheet3!$D$1:$E$7,2,0),$NW$21:$NX$35,2,0)="Yes"))</f>
        <v>1</v>
      </c>
      <c r="BV3" s="13" t="b">
        <f>AND(NOT(ISNUMBER(MATCH(DATE($A$2,INT((COLUMN()-1)/31.001)+$A$1,ROUNDUP(MOD(COLUMN()-1,31.001),0)),HolidayList[Date],0))),(VLOOKUP(VLOOKUP(WEEKDAY(DATE($A$2,INT((COLUMN()-1)/31.001)+$A$1,ROUNDUP(MOD(COLUMN()-1,31.001),0)),2),Sheet3!$D$1:$E$7,2,0),$NW$21:$NX$35,2,0)="Yes"))</f>
        <v>1</v>
      </c>
      <c r="BW3" s="13" t="b">
        <f>AND(NOT(ISNUMBER(MATCH(DATE($A$2,INT((COLUMN()-1)/31.001)+$A$1,ROUNDUP(MOD(COLUMN()-1,31.001),0)),HolidayList[Date],0))),(VLOOKUP(VLOOKUP(WEEKDAY(DATE($A$2,INT((COLUMN()-1)/31.001)+$A$1,ROUNDUP(MOD(COLUMN()-1,31.001),0)),2),Sheet3!$D$1:$E$7,2,0),$NW$21:$NX$35,2,0)="Yes"))</f>
        <v>1</v>
      </c>
      <c r="BX3" s="13" t="b">
        <f>AND(NOT(ISNUMBER(MATCH(DATE($A$2,INT((COLUMN()-1)/31.001)+$A$1,ROUNDUP(MOD(COLUMN()-1,31.001),0)),HolidayList[Date],0))),(VLOOKUP(VLOOKUP(WEEKDAY(DATE($A$2,INT((COLUMN()-1)/31.001)+$A$1,ROUNDUP(MOD(COLUMN()-1,31.001),0)),2),Sheet3!$D$1:$E$7,2,0),$NW$21:$NX$35,2,0)="Yes"))</f>
        <v>1</v>
      </c>
      <c r="BY3" s="13" t="b">
        <f>AND(NOT(ISNUMBER(MATCH(DATE($A$2,INT((COLUMN()-1)/31.001)+$A$1,ROUNDUP(MOD(COLUMN()-1,31.001),0)),HolidayList[Date],0))),(VLOOKUP(VLOOKUP(WEEKDAY(DATE($A$2,INT((COLUMN()-1)/31.001)+$A$1,ROUNDUP(MOD(COLUMN()-1,31.001),0)),2),Sheet3!$D$1:$E$7,2,0),$NW$21:$NX$35,2,0)="Yes"))</f>
        <v>1</v>
      </c>
      <c r="BZ3" s="13" t="b">
        <f>AND(NOT(ISNUMBER(MATCH(DATE($A$2,INT((COLUMN()-1)/31.001)+$A$1,ROUNDUP(MOD(COLUMN()-1,31.001),0)),HolidayList[Date],0))),(VLOOKUP(VLOOKUP(WEEKDAY(DATE($A$2,INT((COLUMN()-1)/31.001)+$A$1,ROUNDUP(MOD(COLUMN()-1,31.001),0)),2),Sheet3!$D$1:$E$7,2,0),$NW$21:$NX$35,2,0)="Yes"))</f>
        <v>0</v>
      </c>
      <c r="CA3" s="13" t="b">
        <f>AND(NOT(ISNUMBER(MATCH(DATE($A$2,INT((COLUMN()-1)/31.001)+$A$1,ROUNDUP(MOD(COLUMN()-1,31.001),0)),HolidayList[Date],0))),(VLOOKUP(VLOOKUP(WEEKDAY(DATE($A$2,INT((COLUMN()-1)/31.001)+$A$1,ROUNDUP(MOD(COLUMN()-1,31.001),0)),2),Sheet3!$D$1:$E$7,2,0),$NW$21:$NX$35,2,0)="Yes"))</f>
        <v>0</v>
      </c>
      <c r="CB3" s="13" t="b">
        <f>AND(NOT(ISNUMBER(MATCH(DATE($A$2,INT((COLUMN()-1)/31.001)+$A$1,ROUNDUP(MOD(COLUMN()-1,31.001),0)),HolidayList[Date],0))),(VLOOKUP(VLOOKUP(WEEKDAY(DATE($A$2,INT((COLUMN()-1)/31.001)+$A$1,ROUNDUP(MOD(COLUMN()-1,31.001),0)),2),Sheet3!$D$1:$E$7,2,0),$NW$21:$NX$35,2,0)="Yes"))</f>
        <v>1</v>
      </c>
      <c r="CC3" s="13" t="b">
        <f>AND(NOT(ISNUMBER(MATCH(DATE($A$2,INT((COLUMN()-1)/31.001)+$A$1,ROUNDUP(MOD(COLUMN()-1,31.001),0)),HolidayList[Date],0))),(VLOOKUP(VLOOKUP(WEEKDAY(DATE($A$2,INT((COLUMN()-1)/31.001)+$A$1,ROUNDUP(MOD(COLUMN()-1,31.001),0)),2),Sheet3!$D$1:$E$7,2,0),$NW$21:$NX$35,2,0)="Yes"))</f>
        <v>1</v>
      </c>
      <c r="CD3" s="13" t="b">
        <f>AND(NOT(ISNUMBER(MATCH(DATE($A$2,INT((COLUMN()-1)/31.001)+$A$1,ROUNDUP(MOD(COLUMN()-1,31.001),0)),HolidayList[Date],0))),(VLOOKUP(VLOOKUP(WEEKDAY(DATE($A$2,INT((COLUMN()-1)/31.001)+$A$1,ROUNDUP(MOD(COLUMN()-1,31.001),0)),2),Sheet3!$D$1:$E$7,2,0),$NW$21:$NX$35,2,0)="Yes"))</f>
        <v>1</v>
      </c>
      <c r="CE3" s="13" t="b">
        <f>AND(NOT(ISNUMBER(MATCH(DATE($A$2,INT((COLUMN()-1)/31.001)+$A$1,ROUNDUP(MOD(COLUMN()-1,31.001),0)),HolidayList[Date],0))),(VLOOKUP(VLOOKUP(WEEKDAY(DATE($A$2,INT((COLUMN()-1)/31.001)+$A$1,ROUNDUP(MOD(COLUMN()-1,31.001),0)),2),Sheet3!$D$1:$E$7,2,0),$NW$21:$NX$35,2,0)="Yes"))</f>
        <v>1</v>
      </c>
      <c r="CF3" s="13" t="b">
        <f>AND(NOT(ISNUMBER(MATCH(DATE($A$2,INT((COLUMN()-1)/31.001)+$A$1,ROUNDUP(MOD(COLUMN()-1,31.001),0)),HolidayList[Date],0))),(VLOOKUP(VLOOKUP(WEEKDAY(DATE($A$2,INT((COLUMN()-1)/31.001)+$A$1,ROUNDUP(MOD(COLUMN()-1,31.001),0)),2),Sheet3!$D$1:$E$7,2,0),$NW$21:$NX$35,2,0)="Yes"))</f>
        <v>1</v>
      </c>
      <c r="CG3" s="13" t="b">
        <f>AND(NOT(ISNUMBER(MATCH(DATE($A$2,INT((COLUMN()-1)/31.001)+$A$1,ROUNDUP(MOD(COLUMN()-1,31.001),0)),HolidayList[Date],0))),(VLOOKUP(VLOOKUP(WEEKDAY(DATE($A$2,INT((COLUMN()-1)/31.001)+$A$1,ROUNDUP(MOD(COLUMN()-1,31.001),0)),2),Sheet3!$D$1:$E$7,2,0),$NW$21:$NX$35,2,0)="Yes"))</f>
        <v>0</v>
      </c>
      <c r="CH3" s="13" t="b">
        <f>AND(NOT(ISNUMBER(MATCH(DATE($A$2,INT((COLUMN()-1)/31.001)+$A$1,ROUNDUP(MOD(COLUMN()-1,31.001),0)),HolidayList[Date],0))),(VLOOKUP(VLOOKUP(WEEKDAY(DATE($A$2,INT((COLUMN()-1)/31.001)+$A$1,ROUNDUP(MOD(COLUMN()-1,31.001),0)),2),Sheet3!$D$1:$E$7,2,0),$NW$21:$NX$35,2,0)="Yes"))</f>
        <v>0</v>
      </c>
      <c r="CI3" s="13" t="b">
        <f>AND(NOT(ISNUMBER(MATCH(DATE($A$2,INT((COLUMN()-1)/31.001)+$A$1,ROUNDUP(MOD(COLUMN()-1,31.001),0)),HolidayList[Date],0))),(VLOOKUP(VLOOKUP(WEEKDAY(DATE($A$2,INT((COLUMN()-1)/31.001)+$A$1,ROUNDUP(MOD(COLUMN()-1,31.001),0)),2),Sheet3!$D$1:$E$7,2,0),$NW$21:$NX$35,2,0)="Yes"))</f>
        <v>1</v>
      </c>
      <c r="CJ3" s="13" t="b">
        <f>AND(NOT(ISNUMBER(MATCH(DATE($A$2,INT((COLUMN()-1)/31.001)+$A$1,ROUNDUP(MOD(COLUMN()-1,31.001),0)),HolidayList[Date],0))),(VLOOKUP(VLOOKUP(WEEKDAY(DATE($A$2,INT((COLUMN()-1)/31.001)+$A$1,ROUNDUP(MOD(COLUMN()-1,31.001),0)),2),Sheet3!$D$1:$E$7,2,0),$NW$21:$NX$35,2,0)="Yes"))</f>
        <v>1</v>
      </c>
      <c r="CK3" s="13" t="b">
        <f>AND(NOT(ISNUMBER(MATCH(DATE($A$2,INT((COLUMN()-1)/31.001)+$A$1,ROUNDUP(MOD(COLUMN()-1,31.001),0)),HolidayList[Date],0))),(VLOOKUP(VLOOKUP(WEEKDAY(DATE($A$2,INT((COLUMN()-1)/31.001)+$A$1,ROUNDUP(MOD(COLUMN()-1,31.001),0)),2),Sheet3!$D$1:$E$7,2,0),$NW$21:$NX$35,2,0)="Yes"))</f>
        <v>1</v>
      </c>
      <c r="CL3" s="13" t="b">
        <f>AND(NOT(ISNUMBER(MATCH(DATE($A$2,INT((COLUMN()-1)/31.001)+$A$1,ROUNDUP(MOD(COLUMN()-1,31.001),0)),HolidayList[Date],0))),(VLOOKUP(VLOOKUP(WEEKDAY(DATE($A$2,INT((COLUMN()-1)/31.001)+$A$1,ROUNDUP(MOD(COLUMN()-1,31.001),0)),2),Sheet3!$D$1:$E$7,2,0),$NW$21:$NX$35,2,0)="Yes"))</f>
        <v>1</v>
      </c>
      <c r="CM3" s="13" t="b">
        <f>AND(NOT(ISNUMBER(MATCH(DATE($A$2,INT((COLUMN()-1)/31.001)+$A$1,ROUNDUP(MOD(COLUMN()-1,31.001),0)),HolidayList[Date],0))),(VLOOKUP(VLOOKUP(WEEKDAY(DATE($A$2,INT((COLUMN()-1)/31.001)+$A$1,ROUNDUP(MOD(COLUMN()-1,31.001),0)),2),Sheet3!$D$1:$E$7,2,0),$NW$21:$NX$35,2,0)="Yes"))</f>
        <v>1</v>
      </c>
      <c r="CN3" s="13" t="b">
        <f>AND(NOT(ISNUMBER(MATCH(DATE($A$2,INT((COLUMN()-1)/31.001)+$A$1,ROUNDUP(MOD(COLUMN()-1,31.001),0)),HolidayList[Date],0))),(VLOOKUP(VLOOKUP(WEEKDAY(DATE($A$2,INT((COLUMN()-1)/31.001)+$A$1,ROUNDUP(MOD(COLUMN()-1,31.001),0)),2),Sheet3!$D$1:$E$7,2,0),$NW$21:$NX$35,2,0)="Yes"))</f>
        <v>0</v>
      </c>
      <c r="CO3" s="13" t="b">
        <f>AND(NOT(ISNUMBER(MATCH(DATE($A$2,INT((COLUMN()-1)/31.001)+$A$1,ROUNDUP(MOD(COLUMN()-1,31.001),0)),HolidayList[Date],0))),(VLOOKUP(VLOOKUP(WEEKDAY(DATE($A$2,INT((COLUMN()-1)/31.001)+$A$1,ROUNDUP(MOD(COLUMN()-1,31.001),0)),2),Sheet3!$D$1:$E$7,2,0),$NW$21:$NX$35,2,0)="Yes"))</f>
        <v>0</v>
      </c>
      <c r="CP3" s="13" t="b">
        <f>AND(NOT(ISNUMBER(MATCH(DATE($A$2,INT((COLUMN()-1)/31.001)+$A$1,ROUNDUP(MOD(COLUMN()-1,31.001),0)),HolidayList[Date],0))),(VLOOKUP(VLOOKUP(WEEKDAY(DATE($A$2,INT((COLUMN()-1)/31.001)+$A$1,ROUNDUP(MOD(COLUMN()-1,31.001),0)),2),Sheet3!$D$1:$E$7,2,0),$NW$21:$NX$35,2,0)="Yes"))</f>
        <v>1</v>
      </c>
      <c r="CQ3" s="13"/>
      <c r="CR3" s="13" t="b">
        <f>AND(NOT(ISNUMBER(MATCH(DATE($A$2,INT((COLUMN()-1)/31.001)+$A$1,ROUNDUP(MOD(COLUMN()-1,31.001),0)),HolidayList[Date],0))),(VLOOKUP(VLOOKUP(WEEKDAY(DATE($A$2,INT((COLUMN()-1)/31.001)+$A$1,ROUNDUP(MOD(COLUMN()-1,31.001),0)),2),Sheet3!$D$1:$E$7,2,0),$NW$21:$NX$35,2,0)="Yes"))</f>
        <v>1</v>
      </c>
      <c r="CS3" s="13" t="b">
        <f>AND(NOT(ISNUMBER(MATCH(DATE($A$2,INT((COLUMN()-1)/31.001)+$A$1,ROUNDUP(MOD(COLUMN()-1,31.001),0)),HolidayList[Date],0))),(VLOOKUP(VLOOKUP(WEEKDAY(DATE($A$2,INT((COLUMN()-1)/31.001)+$A$1,ROUNDUP(MOD(COLUMN()-1,31.001),0)),2),Sheet3!$D$1:$E$7,2,0),$NW$21:$NX$35,2,0)="Yes"))</f>
        <v>1</v>
      </c>
      <c r="CT3" s="13" t="b">
        <f>AND(NOT(ISNUMBER(MATCH(DATE($A$2,INT((COLUMN()-1)/31.001)+$A$1,ROUNDUP(MOD(COLUMN()-1,31.001),0)),HolidayList[Date],0))),(VLOOKUP(VLOOKUP(WEEKDAY(DATE($A$2,INT((COLUMN()-1)/31.001)+$A$1,ROUNDUP(MOD(COLUMN()-1,31.001),0)),2),Sheet3!$D$1:$E$7,2,0),$NW$21:$NX$35,2,0)="Yes"))</f>
        <v>1</v>
      </c>
      <c r="CU3" s="13" t="b">
        <f>AND(NOT(ISNUMBER(MATCH(DATE($A$2,INT((COLUMN()-1)/31.001)+$A$1,ROUNDUP(MOD(COLUMN()-1,31.001),0)),HolidayList[Date],0))),(VLOOKUP(VLOOKUP(WEEKDAY(DATE($A$2,INT((COLUMN()-1)/31.001)+$A$1,ROUNDUP(MOD(COLUMN()-1,31.001),0)),2),Sheet3!$D$1:$E$7,2,0),$NW$21:$NX$35,2,0)="Yes"))</f>
        <v>0</v>
      </c>
      <c r="CV3" s="13" t="b">
        <f>AND(NOT(ISNUMBER(MATCH(DATE($A$2,INT((COLUMN()-1)/31.001)+$A$1,ROUNDUP(MOD(COLUMN()-1,31.001),0)),HolidayList[Date],0))),(VLOOKUP(VLOOKUP(WEEKDAY(DATE($A$2,INT((COLUMN()-1)/31.001)+$A$1,ROUNDUP(MOD(COLUMN()-1,31.001),0)),2),Sheet3!$D$1:$E$7,2,0),$NW$21:$NX$35,2,0)="Yes"))</f>
        <v>0</v>
      </c>
      <c r="CW3" s="13" t="b">
        <f>AND(NOT(ISNUMBER(MATCH(DATE($A$2,INT((COLUMN()-1)/31.001)+$A$1,ROUNDUP(MOD(COLUMN()-1,31.001),0)),HolidayList[Date],0))),(VLOOKUP(VLOOKUP(WEEKDAY(DATE($A$2,INT((COLUMN()-1)/31.001)+$A$1,ROUNDUP(MOD(COLUMN()-1,31.001),0)),2),Sheet3!$D$1:$E$7,2,0),$NW$21:$NX$35,2,0)="Yes"))</f>
        <v>1</v>
      </c>
      <c r="CX3" s="13" t="b">
        <f>AND(NOT(ISNUMBER(MATCH(DATE($A$2,INT((COLUMN()-1)/31.001)+$A$1,ROUNDUP(MOD(COLUMN()-1,31.001),0)),HolidayList[Date],0))),(VLOOKUP(VLOOKUP(WEEKDAY(DATE($A$2,INT((COLUMN()-1)/31.001)+$A$1,ROUNDUP(MOD(COLUMN()-1,31.001),0)),2),Sheet3!$D$1:$E$7,2,0),$NW$21:$NX$35,2,0)="Yes"))</f>
        <v>1</v>
      </c>
      <c r="CY3" s="13" t="b">
        <f>AND(NOT(ISNUMBER(MATCH(DATE($A$2,INT((COLUMN()-1)/31.001)+$A$1,ROUNDUP(MOD(COLUMN()-1,31.001),0)),HolidayList[Date],0))),(VLOOKUP(VLOOKUP(WEEKDAY(DATE($A$2,INT((COLUMN()-1)/31.001)+$A$1,ROUNDUP(MOD(COLUMN()-1,31.001),0)),2),Sheet3!$D$1:$E$7,2,0),$NW$21:$NX$35,2,0)="Yes"))</f>
        <v>1</v>
      </c>
      <c r="CZ3" s="13" t="b">
        <f>AND(NOT(ISNUMBER(MATCH(DATE($A$2,INT((COLUMN()-1)/31.001)+$A$1,ROUNDUP(MOD(COLUMN()-1,31.001),0)),HolidayList[Date],0))),(VLOOKUP(VLOOKUP(WEEKDAY(DATE($A$2,INT((COLUMN()-1)/31.001)+$A$1,ROUNDUP(MOD(COLUMN()-1,31.001),0)),2),Sheet3!$D$1:$E$7,2,0),$NW$21:$NX$35,2,0)="Yes"))</f>
        <v>1</v>
      </c>
      <c r="DA3" s="13" t="b">
        <f>AND(NOT(ISNUMBER(MATCH(DATE($A$2,INT((COLUMN()-1)/31.001)+$A$1,ROUNDUP(MOD(COLUMN()-1,31.001),0)),HolidayList[Date],0))),(VLOOKUP(VLOOKUP(WEEKDAY(DATE($A$2,INT((COLUMN()-1)/31.001)+$A$1,ROUNDUP(MOD(COLUMN()-1,31.001),0)),2),Sheet3!$D$1:$E$7,2,0),$NW$21:$NX$35,2,0)="Yes"))</f>
        <v>1</v>
      </c>
      <c r="DB3" s="13" t="b">
        <f>AND(NOT(ISNUMBER(MATCH(DATE($A$2,INT((COLUMN()-1)/31.001)+$A$1,ROUNDUP(MOD(COLUMN()-1,31.001),0)),HolidayList[Date],0))),(VLOOKUP(VLOOKUP(WEEKDAY(DATE($A$2,INT((COLUMN()-1)/31.001)+$A$1,ROUNDUP(MOD(COLUMN()-1,31.001),0)),2),Sheet3!$D$1:$E$7,2,0),$NW$21:$NX$35,2,0)="Yes"))</f>
        <v>0</v>
      </c>
      <c r="DC3" s="13" t="b">
        <f>AND(NOT(ISNUMBER(MATCH(DATE($A$2,INT((COLUMN()-1)/31.001)+$A$1,ROUNDUP(MOD(COLUMN()-1,31.001),0)),HolidayList[Date],0))),(VLOOKUP(VLOOKUP(WEEKDAY(DATE($A$2,INT((COLUMN()-1)/31.001)+$A$1,ROUNDUP(MOD(COLUMN()-1,31.001),0)),2),Sheet3!$D$1:$E$7,2,0),$NW$21:$NX$35,2,0)="Yes"))</f>
        <v>0</v>
      </c>
      <c r="DD3" s="13" t="b">
        <f>AND(NOT(ISNUMBER(MATCH(DATE($A$2,INT((COLUMN()-1)/31.001)+$A$1,ROUNDUP(MOD(COLUMN()-1,31.001),0)),HolidayList[Date],0))),(VLOOKUP(VLOOKUP(WEEKDAY(DATE($A$2,INT((COLUMN()-1)/31.001)+$A$1,ROUNDUP(MOD(COLUMN()-1,31.001),0)),2),Sheet3!$D$1:$E$7,2,0),$NW$21:$NX$35,2,0)="Yes"))</f>
        <v>1</v>
      </c>
      <c r="DE3" s="13" t="b">
        <f>AND(NOT(ISNUMBER(MATCH(DATE($A$2,INT((COLUMN()-1)/31.001)+$A$1,ROUNDUP(MOD(COLUMN()-1,31.001),0)),HolidayList[Date],0))),(VLOOKUP(VLOOKUP(WEEKDAY(DATE($A$2,INT((COLUMN()-1)/31.001)+$A$1,ROUNDUP(MOD(COLUMN()-1,31.001),0)),2),Sheet3!$D$1:$E$7,2,0),$NW$21:$NX$35,2,0)="Yes"))</f>
        <v>1</v>
      </c>
      <c r="DF3" s="13" t="b">
        <f>AND(NOT(ISNUMBER(MATCH(DATE($A$2,INT((COLUMN()-1)/31.001)+$A$1,ROUNDUP(MOD(COLUMN()-1,31.001),0)),HolidayList[Date],0))),(VLOOKUP(VLOOKUP(WEEKDAY(DATE($A$2,INT((COLUMN()-1)/31.001)+$A$1,ROUNDUP(MOD(COLUMN()-1,31.001),0)),2),Sheet3!$D$1:$E$7,2,0),$NW$21:$NX$35,2,0)="Yes"))</f>
        <v>1</v>
      </c>
      <c r="DG3" s="13" t="b">
        <f>AND(NOT(ISNUMBER(MATCH(DATE($A$2,INT((COLUMN()-1)/31.001)+$A$1,ROUNDUP(MOD(COLUMN()-1,31.001),0)),HolidayList[Date],0))),(VLOOKUP(VLOOKUP(WEEKDAY(DATE($A$2,INT((COLUMN()-1)/31.001)+$A$1,ROUNDUP(MOD(COLUMN()-1,31.001),0)),2),Sheet3!$D$1:$E$7,2,0),$NW$21:$NX$35,2,0)="Yes"))</f>
        <v>1</v>
      </c>
      <c r="DH3" s="13" t="b">
        <f>AND(NOT(ISNUMBER(MATCH(DATE($A$2,INT((COLUMN()-1)/31.001)+$A$1,ROUNDUP(MOD(COLUMN()-1,31.001),0)),HolidayList[Date],0))),(VLOOKUP(VLOOKUP(WEEKDAY(DATE($A$2,INT((COLUMN()-1)/31.001)+$A$1,ROUNDUP(MOD(COLUMN()-1,31.001),0)),2),Sheet3!$D$1:$E$7,2,0),$NW$21:$NX$35,2,0)="Yes"))</f>
        <v>1</v>
      </c>
      <c r="DI3" s="13" t="b">
        <f>AND(NOT(ISNUMBER(MATCH(DATE($A$2,INT((COLUMN()-1)/31.001)+$A$1,ROUNDUP(MOD(COLUMN()-1,31.001),0)),HolidayList[Date],0))),(VLOOKUP(VLOOKUP(WEEKDAY(DATE($A$2,INT((COLUMN()-1)/31.001)+$A$1,ROUNDUP(MOD(COLUMN()-1,31.001),0)),2),Sheet3!$D$1:$E$7,2,0),$NW$21:$NX$35,2,0)="Yes"))</f>
        <v>0</v>
      </c>
      <c r="DJ3" s="13" t="b">
        <f>AND(NOT(ISNUMBER(MATCH(DATE($A$2,INT((COLUMN()-1)/31.001)+$A$1,ROUNDUP(MOD(COLUMN()-1,31.001),0)),HolidayList[Date],0))),(VLOOKUP(VLOOKUP(WEEKDAY(DATE($A$2,INT((COLUMN()-1)/31.001)+$A$1,ROUNDUP(MOD(COLUMN()-1,31.001),0)),2),Sheet3!$D$1:$E$7,2,0),$NW$21:$NX$35,2,0)="Yes"))</f>
        <v>0</v>
      </c>
      <c r="DK3" s="13" t="b">
        <f>AND(NOT(ISNUMBER(MATCH(DATE($A$2,INT((COLUMN()-1)/31.001)+$A$1,ROUNDUP(MOD(COLUMN()-1,31.001),0)),HolidayList[Date],0))),(VLOOKUP(VLOOKUP(WEEKDAY(DATE($A$2,INT((COLUMN()-1)/31.001)+$A$1,ROUNDUP(MOD(COLUMN()-1,31.001),0)),2),Sheet3!$D$1:$E$7,2,0),$NW$21:$NX$35,2,0)="Yes"))</f>
        <v>1</v>
      </c>
      <c r="DL3" s="13" t="b">
        <f>AND(NOT(ISNUMBER(MATCH(DATE($A$2,INT((COLUMN()-1)/31.001)+$A$1,ROUNDUP(MOD(COLUMN()-1,31.001),0)),HolidayList[Date],0))),(VLOOKUP(VLOOKUP(WEEKDAY(DATE($A$2,INT((COLUMN()-1)/31.001)+$A$1,ROUNDUP(MOD(COLUMN()-1,31.001),0)),2),Sheet3!$D$1:$E$7,2,0),$NW$21:$NX$35,2,0)="Yes"))</f>
        <v>1</v>
      </c>
      <c r="DM3" s="13" t="b">
        <f>AND(NOT(ISNUMBER(MATCH(DATE($A$2,INT((COLUMN()-1)/31.001)+$A$1,ROUNDUP(MOD(COLUMN()-1,31.001),0)),HolidayList[Date],0))),(VLOOKUP(VLOOKUP(WEEKDAY(DATE($A$2,INT((COLUMN()-1)/31.001)+$A$1,ROUNDUP(MOD(COLUMN()-1,31.001),0)),2),Sheet3!$D$1:$E$7,2,0),$NW$21:$NX$35,2,0)="Yes"))</f>
        <v>1</v>
      </c>
      <c r="DN3" s="13" t="b">
        <f>AND(NOT(ISNUMBER(MATCH(DATE($A$2,INT((COLUMN()-1)/31.001)+$A$1,ROUNDUP(MOD(COLUMN()-1,31.001),0)),HolidayList[Date],0))),(VLOOKUP(VLOOKUP(WEEKDAY(DATE($A$2,INT((COLUMN()-1)/31.001)+$A$1,ROUNDUP(MOD(COLUMN()-1,31.001),0)),2),Sheet3!$D$1:$E$7,2,0),$NW$21:$NX$35,2,0)="Yes"))</f>
        <v>1</v>
      </c>
      <c r="DO3" s="13" t="b">
        <f>AND(NOT(ISNUMBER(MATCH(DATE($A$2,INT((COLUMN()-1)/31.001)+$A$1,ROUNDUP(MOD(COLUMN()-1,31.001),0)),HolidayList[Date],0))),(VLOOKUP(VLOOKUP(WEEKDAY(DATE($A$2,INT((COLUMN()-1)/31.001)+$A$1,ROUNDUP(MOD(COLUMN()-1,31.001),0)),2),Sheet3!$D$1:$E$7,2,0),$NW$21:$NX$35,2,0)="Yes"))</f>
        <v>1</v>
      </c>
      <c r="DP3" s="13" t="b">
        <f>AND(NOT(ISNUMBER(MATCH(DATE($A$2,INT((COLUMN()-1)/31.001)+$A$1,ROUNDUP(MOD(COLUMN()-1,31.001),0)),HolidayList[Date],0))),(VLOOKUP(VLOOKUP(WEEKDAY(DATE($A$2,INT((COLUMN()-1)/31.001)+$A$1,ROUNDUP(MOD(COLUMN()-1,31.001),0)),2),Sheet3!$D$1:$E$7,2,0),$NW$21:$NX$35,2,0)="Yes"))</f>
        <v>0</v>
      </c>
      <c r="DQ3" s="13" t="b">
        <f>AND(NOT(ISNUMBER(MATCH(DATE($A$2,INT((COLUMN()-1)/31.001)+$A$1,ROUNDUP(MOD(COLUMN()-1,31.001),0)),HolidayList[Date],0))),(VLOOKUP(VLOOKUP(WEEKDAY(DATE($A$2,INT((COLUMN()-1)/31.001)+$A$1,ROUNDUP(MOD(COLUMN()-1,31.001),0)),2),Sheet3!$D$1:$E$7,2,0),$NW$21:$NX$35,2,0)="Yes"))</f>
        <v>0</v>
      </c>
      <c r="DR3" s="13" t="b">
        <f>AND(NOT(ISNUMBER(MATCH(DATE($A$2,INT((COLUMN()-1)/31.001)+$A$1,ROUNDUP(MOD(COLUMN()-1,31.001),0)),HolidayList[Date],0))),(VLOOKUP(VLOOKUP(WEEKDAY(DATE($A$2,INT((COLUMN()-1)/31.001)+$A$1,ROUNDUP(MOD(COLUMN()-1,31.001),0)),2),Sheet3!$D$1:$E$7,2,0),$NW$21:$NX$35,2,0)="Yes"))</f>
        <v>1</v>
      </c>
      <c r="DS3" s="13" t="b">
        <f>AND(NOT(ISNUMBER(MATCH(DATE($A$2,INT((COLUMN()-1)/31.001)+$A$1,ROUNDUP(MOD(COLUMN()-1,31.001),0)),HolidayList[Date],0))),(VLOOKUP(VLOOKUP(WEEKDAY(DATE($A$2,INT((COLUMN()-1)/31.001)+$A$1,ROUNDUP(MOD(COLUMN()-1,31.001),0)),2),Sheet3!$D$1:$E$7,2,0),$NW$21:$NX$35,2,0)="Yes"))</f>
        <v>1</v>
      </c>
      <c r="DT3" s="13" t="b">
        <f>AND(NOT(ISNUMBER(MATCH(DATE($A$2,INT((COLUMN()-1)/31.001)+$A$1,ROUNDUP(MOD(COLUMN()-1,31.001),0)),HolidayList[Date],0))),(VLOOKUP(VLOOKUP(WEEKDAY(DATE($A$2,INT((COLUMN()-1)/31.001)+$A$1,ROUNDUP(MOD(COLUMN()-1,31.001),0)),2),Sheet3!$D$1:$E$7,2,0),$NW$21:$NX$35,2,0)="Yes"))</f>
        <v>1</v>
      </c>
      <c r="DU3" s="13" t="b">
        <f>AND(NOT(ISNUMBER(MATCH(DATE($A$2,INT((COLUMN()-1)/31.001)+$A$1,ROUNDUP(MOD(COLUMN()-1,31.001),0)),HolidayList[Date],0))),(VLOOKUP(VLOOKUP(WEEKDAY(DATE($A$2,INT((COLUMN()-1)/31.001)+$A$1,ROUNDUP(MOD(COLUMN()-1,31.001),0)),2),Sheet3!$D$1:$E$7,2,0),$NW$21:$NX$35,2,0)="Yes"))</f>
        <v>1</v>
      </c>
      <c r="DV3" s="13" t="b">
        <f>AND(NOT(ISNUMBER(MATCH(DATE($A$2,INT((COLUMN()-1)/31.001)+$A$1,ROUNDUP(MOD(COLUMN()-1,31.001),0)),HolidayList[Date],0))),(VLOOKUP(VLOOKUP(WEEKDAY(DATE($A$2,INT((COLUMN()-1)/31.001)+$A$1,ROUNDUP(MOD(COLUMN()-1,31.001),0)),2),Sheet3!$D$1:$E$7,2,0),$NW$21:$NX$35,2,0)="Yes"))</f>
        <v>1</v>
      </c>
      <c r="DW3" s="13" t="b">
        <f>AND(NOT(ISNUMBER(MATCH(DATE($A$2,INT((COLUMN()-1)/31.001)+$A$1,ROUNDUP(MOD(COLUMN()-1,31.001),0)),HolidayList[Date],0))),(VLOOKUP(VLOOKUP(WEEKDAY(DATE($A$2,INT((COLUMN()-1)/31.001)+$A$1,ROUNDUP(MOD(COLUMN()-1,31.001),0)),2),Sheet3!$D$1:$E$7,2,0),$NW$21:$NX$35,2,0)="Yes"))</f>
        <v>1</v>
      </c>
      <c r="DX3" s="13" t="b">
        <f>AND(NOT(ISNUMBER(MATCH(DATE($A$2,INT((COLUMN()-1)/31.001)+$A$1,ROUNDUP(MOD(COLUMN()-1,31.001),0)),HolidayList[Date],0))),(VLOOKUP(VLOOKUP(WEEKDAY(DATE($A$2,INT((COLUMN()-1)/31.001)+$A$1,ROUNDUP(MOD(COLUMN()-1,31.001),0)),2),Sheet3!$D$1:$E$7,2,0),$NW$21:$NX$35,2,0)="Yes"))</f>
        <v>0</v>
      </c>
      <c r="DY3" s="13" t="b">
        <f>AND(NOT(ISNUMBER(MATCH(DATE($A$2,INT((COLUMN()-1)/31.001)+$A$1,ROUNDUP(MOD(COLUMN()-1,31.001),0)),HolidayList[Date],0))),(VLOOKUP(VLOOKUP(WEEKDAY(DATE($A$2,INT((COLUMN()-1)/31.001)+$A$1,ROUNDUP(MOD(COLUMN()-1,31.001),0)),2),Sheet3!$D$1:$E$7,2,0),$NW$21:$NX$35,2,0)="Yes"))</f>
        <v>0</v>
      </c>
      <c r="DZ3" s="13" t="b">
        <f>AND(NOT(ISNUMBER(MATCH(DATE($A$2,INT((COLUMN()-1)/31.001)+$A$1,ROUNDUP(MOD(COLUMN()-1,31.001),0)),HolidayList[Date],0))),(VLOOKUP(VLOOKUP(WEEKDAY(DATE($A$2,INT((COLUMN()-1)/31.001)+$A$1,ROUNDUP(MOD(COLUMN()-1,31.001),0)),2),Sheet3!$D$1:$E$7,2,0),$NW$21:$NX$35,2,0)="Yes"))</f>
        <v>1</v>
      </c>
      <c r="EA3" s="13" t="b">
        <f>AND(NOT(ISNUMBER(MATCH(DATE($A$2,INT((COLUMN()-1)/31.001)+$A$1,ROUNDUP(MOD(COLUMN()-1,31.001),0)),HolidayList[Date],0))),(VLOOKUP(VLOOKUP(WEEKDAY(DATE($A$2,INT((COLUMN()-1)/31.001)+$A$1,ROUNDUP(MOD(COLUMN()-1,31.001),0)),2),Sheet3!$D$1:$E$7,2,0),$NW$21:$NX$35,2,0)="Yes"))</f>
        <v>1</v>
      </c>
      <c r="EB3" s="13" t="b">
        <f>AND(NOT(ISNUMBER(MATCH(DATE($A$2,INT((COLUMN()-1)/31.001)+$A$1,ROUNDUP(MOD(COLUMN()-1,31.001),0)),HolidayList[Date],0))),(VLOOKUP(VLOOKUP(WEEKDAY(DATE($A$2,INT((COLUMN()-1)/31.001)+$A$1,ROUNDUP(MOD(COLUMN()-1,31.001),0)),2),Sheet3!$D$1:$E$7,2,0),$NW$21:$NX$35,2,0)="Yes"))</f>
        <v>1</v>
      </c>
      <c r="EC3" s="13" t="b">
        <f>AND(NOT(ISNUMBER(MATCH(DATE($A$2,INT((COLUMN()-1)/31.001)+$A$1,ROUNDUP(MOD(COLUMN()-1,31.001),0)),HolidayList[Date],0))),(VLOOKUP(VLOOKUP(WEEKDAY(DATE($A$2,INT((COLUMN()-1)/31.001)+$A$1,ROUNDUP(MOD(COLUMN()-1,31.001),0)),2),Sheet3!$D$1:$E$7,2,0),$NW$21:$NX$35,2,0)="Yes"))</f>
        <v>1</v>
      </c>
      <c r="ED3" s="13" t="b">
        <f>AND(NOT(ISNUMBER(MATCH(DATE($A$2,INT((COLUMN()-1)/31.001)+$A$1,ROUNDUP(MOD(COLUMN()-1,31.001),0)),HolidayList[Date],0))),(VLOOKUP(VLOOKUP(WEEKDAY(DATE($A$2,INT((COLUMN()-1)/31.001)+$A$1,ROUNDUP(MOD(COLUMN()-1,31.001),0)),2),Sheet3!$D$1:$E$7,2,0),$NW$21:$NX$35,2,0)="Yes"))</f>
        <v>1</v>
      </c>
      <c r="EE3" s="13" t="b">
        <f>AND(NOT(ISNUMBER(MATCH(DATE($A$2,INT((COLUMN()-1)/31.001)+$A$1,ROUNDUP(MOD(COLUMN()-1,31.001),0)),HolidayList[Date],0))),(VLOOKUP(VLOOKUP(WEEKDAY(DATE($A$2,INT((COLUMN()-1)/31.001)+$A$1,ROUNDUP(MOD(COLUMN()-1,31.001),0)),2),Sheet3!$D$1:$E$7,2,0),$NW$21:$NX$35,2,0)="Yes"))</f>
        <v>0</v>
      </c>
      <c r="EF3" s="13" t="b">
        <f>AND(NOT(ISNUMBER(MATCH(DATE($A$2,INT((COLUMN()-1)/31.001)+$A$1,ROUNDUP(MOD(COLUMN()-1,31.001),0)),HolidayList[Date],0))),(VLOOKUP(VLOOKUP(WEEKDAY(DATE($A$2,INT((COLUMN()-1)/31.001)+$A$1,ROUNDUP(MOD(COLUMN()-1,31.001),0)),2),Sheet3!$D$1:$E$7,2,0),$NW$21:$NX$35,2,0)="Yes"))</f>
        <v>0</v>
      </c>
      <c r="EG3" s="13" t="b">
        <f>AND(NOT(ISNUMBER(MATCH(DATE($A$2,INT((COLUMN()-1)/31.001)+$A$1,ROUNDUP(MOD(COLUMN()-1,31.001),0)),HolidayList[Date],0))),(VLOOKUP(VLOOKUP(WEEKDAY(DATE($A$2,INT((COLUMN()-1)/31.001)+$A$1,ROUNDUP(MOD(COLUMN()-1,31.001),0)),2),Sheet3!$D$1:$E$7,2,0),$NW$21:$NX$35,2,0)="Yes"))</f>
        <v>1</v>
      </c>
      <c r="EH3" s="13" t="b">
        <f>AND(NOT(ISNUMBER(MATCH(DATE($A$2,INT((COLUMN()-1)/31.001)+$A$1,ROUNDUP(MOD(COLUMN()-1,31.001),0)),HolidayList[Date],0))),(VLOOKUP(VLOOKUP(WEEKDAY(DATE($A$2,INT((COLUMN()-1)/31.001)+$A$1,ROUNDUP(MOD(COLUMN()-1,31.001),0)),2),Sheet3!$D$1:$E$7,2,0),$NW$21:$NX$35,2,0)="Yes"))</f>
        <v>1</v>
      </c>
      <c r="EI3" s="13" t="b">
        <f>AND(NOT(ISNUMBER(MATCH(DATE($A$2,INT((COLUMN()-1)/31.001)+$A$1,ROUNDUP(MOD(COLUMN()-1,31.001),0)),HolidayList[Date],0))),(VLOOKUP(VLOOKUP(WEEKDAY(DATE($A$2,INT((COLUMN()-1)/31.001)+$A$1,ROUNDUP(MOD(COLUMN()-1,31.001),0)),2),Sheet3!$D$1:$E$7,2,0),$NW$21:$NX$35,2,0)="Yes"))</f>
        <v>1</v>
      </c>
      <c r="EJ3" s="13" t="b">
        <f>AND(NOT(ISNUMBER(MATCH(DATE($A$2,INT((COLUMN()-1)/31.001)+$A$1,ROUNDUP(MOD(COLUMN()-1,31.001),0)),HolidayList[Date],0))),(VLOOKUP(VLOOKUP(WEEKDAY(DATE($A$2,INT((COLUMN()-1)/31.001)+$A$1,ROUNDUP(MOD(COLUMN()-1,31.001),0)),2),Sheet3!$D$1:$E$7,2,0),$NW$21:$NX$35,2,0)="Yes"))</f>
        <v>1</v>
      </c>
      <c r="EK3" s="13" t="b">
        <f>AND(NOT(ISNUMBER(MATCH(DATE($A$2,INT((COLUMN()-1)/31.001)+$A$1,ROUNDUP(MOD(COLUMN()-1,31.001),0)),HolidayList[Date],0))),(VLOOKUP(VLOOKUP(WEEKDAY(DATE($A$2,INT((COLUMN()-1)/31.001)+$A$1,ROUNDUP(MOD(COLUMN()-1,31.001),0)),2),Sheet3!$D$1:$E$7,2,0),$NW$21:$NX$35,2,0)="Yes"))</f>
        <v>1</v>
      </c>
      <c r="EL3" s="13" t="b">
        <f>AND(NOT(ISNUMBER(MATCH(DATE($A$2,INT((COLUMN()-1)/31.001)+$A$1,ROUNDUP(MOD(COLUMN()-1,31.001),0)),HolidayList[Date],0))),(VLOOKUP(VLOOKUP(WEEKDAY(DATE($A$2,INT((COLUMN()-1)/31.001)+$A$1,ROUNDUP(MOD(COLUMN()-1,31.001),0)),2),Sheet3!$D$1:$E$7,2,0),$NW$21:$NX$35,2,0)="Yes"))</f>
        <v>0</v>
      </c>
      <c r="EM3" s="13" t="b">
        <f>AND(NOT(ISNUMBER(MATCH(DATE($A$2,INT((COLUMN()-1)/31.001)+$A$1,ROUNDUP(MOD(COLUMN()-1,31.001),0)),HolidayList[Date],0))),(VLOOKUP(VLOOKUP(WEEKDAY(DATE($A$2,INT((COLUMN()-1)/31.001)+$A$1,ROUNDUP(MOD(COLUMN()-1,31.001),0)),2),Sheet3!$D$1:$E$7,2,0),$NW$21:$NX$35,2,0)="Yes"))</f>
        <v>0</v>
      </c>
      <c r="EN3" s="13" t="b">
        <f>AND(NOT(ISNUMBER(MATCH(DATE($A$2,INT((COLUMN()-1)/31.001)+$A$1,ROUNDUP(MOD(COLUMN()-1,31.001),0)),HolidayList[Date],0))),(VLOOKUP(VLOOKUP(WEEKDAY(DATE($A$2,INT((COLUMN()-1)/31.001)+$A$1,ROUNDUP(MOD(COLUMN()-1,31.001),0)),2),Sheet3!$D$1:$E$7,2,0),$NW$21:$NX$35,2,0)="Yes"))</f>
        <v>1</v>
      </c>
      <c r="EO3" s="13" t="b">
        <f>AND(NOT(ISNUMBER(MATCH(DATE($A$2,INT((COLUMN()-1)/31.001)+$A$1,ROUNDUP(MOD(COLUMN()-1,31.001),0)),HolidayList[Date],0))),(VLOOKUP(VLOOKUP(WEEKDAY(DATE($A$2,INT((COLUMN()-1)/31.001)+$A$1,ROUNDUP(MOD(COLUMN()-1,31.001),0)),2),Sheet3!$D$1:$E$7,2,0),$NW$21:$NX$35,2,0)="Yes"))</f>
        <v>1</v>
      </c>
      <c r="EP3" s="13" t="b">
        <f>AND(NOT(ISNUMBER(MATCH(DATE($A$2,INT((COLUMN()-1)/31.001)+$A$1,ROUNDUP(MOD(COLUMN()-1,31.001),0)),HolidayList[Date],0))),(VLOOKUP(VLOOKUP(WEEKDAY(DATE($A$2,INT((COLUMN()-1)/31.001)+$A$1,ROUNDUP(MOD(COLUMN()-1,31.001),0)),2),Sheet3!$D$1:$E$7,2,0),$NW$21:$NX$35,2,0)="Yes"))</f>
        <v>1</v>
      </c>
      <c r="EQ3" s="13" t="b">
        <f>AND(NOT(ISNUMBER(MATCH(DATE($A$2,INT((COLUMN()-1)/31.001)+$A$1,ROUNDUP(MOD(COLUMN()-1,31.001),0)),HolidayList[Date],0))),(VLOOKUP(VLOOKUP(WEEKDAY(DATE($A$2,INT((COLUMN()-1)/31.001)+$A$1,ROUNDUP(MOD(COLUMN()-1,31.001),0)),2),Sheet3!$D$1:$E$7,2,0),$NW$21:$NX$35,2,0)="Yes"))</f>
        <v>1</v>
      </c>
      <c r="ER3" s="13" t="b">
        <f>AND(NOT(ISNUMBER(MATCH(DATE($A$2,INT((COLUMN()-1)/31.001)+$A$1,ROUNDUP(MOD(COLUMN()-1,31.001),0)),HolidayList[Date],0))),(VLOOKUP(VLOOKUP(WEEKDAY(DATE($A$2,INT((COLUMN()-1)/31.001)+$A$1,ROUNDUP(MOD(COLUMN()-1,31.001),0)),2),Sheet3!$D$1:$E$7,2,0),$NW$21:$NX$35,2,0)="Yes"))</f>
        <v>1</v>
      </c>
      <c r="ES3" s="13" t="b">
        <f>AND(NOT(ISNUMBER(MATCH(DATE($A$2,INT((COLUMN()-1)/31.001)+$A$1,ROUNDUP(MOD(COLUMN()-1,31.001),0)),HolidayList[Date],0))),(VLOOKUP(VLOOKUP(WEEKDAY(DATE($A$2,INT((COLUMN()-1)/31.001)+$A$1,ROUNDUP(MOD(COLUMN()-1,31.001),0)),2),Sheet3!$D$1:$E$7,2,0),$NW$21:$NX$35,2,0)="Yes"))</f>
        <v>0</v>
      </c>
      <c r="ET3" s="13" t="b">
        <f>AND(NOT(ISNUMBER(MATCH(DATE($A$2,INT((COLUMN()-1)/31.001)+$A$1,ROUNDUP(MOD(COLUMN()-1,31.001),0)),HolidayList[Date],0))),(VLOOKUP(VLOOKUP(WEEKDAY(DATE($A$2,INT((COLUMN()-1)/31.001)+$A$1,ROUNDUP(MOD(COLUMN()-1,31.001),0)),2),Sheet3!$D$1:$E$7,2,0),$NW$21:$NX$35,2,0)="Yes"))</f>
        <v>0</v>
      </c>
      <c r="EU3" s="13" t="b">
        <f>AND(NOT(ISNUMBER(MATCH(DATE($A$2,INT((COLUMN()-1)/31.001)+$A$1,ROUNDUP(MOD(COLUMN()-1,31.001),0)),HolidayList[Date],0))),(VLOOKUP(VLOOKUP(WEEKDAY(DATE($A$2,INT((COLUMN()-1)/31.001)+$A$1,ROUNDUP(MOD(COLUMN()-1,31.001),0)),2),Sheet3!$D$1:$E$7,2,0),$NW$21:$NX$35,2,0)="Yes"))</f>
        <v>1</v>
      </c>
      <c r="EV3" s="13" t="b">
        <f>AND(NOT(ISNUMBER(MATCH(DATE($A$2,INT((COLUMN()-1)/31.001)+$A$1,ROUNDUP(MOD(COLUMN()-1,31.001),0)),HolidayList[Date],0))),(VLOOKUP(VLOOKUP(WEEKDAY(DATE($A$2,INT((COLUMN()-1)/31.001)+$A$1,ROUNDUP(MOD(COLUMN()-1,31.001),0)),2),Sheet3!$D$1:$E$7,2,0),$NW$21:$NX$35,2,0)="Yes"))</f>
        <v>1</v>
      </c>
      <c r="EW3" s="13" t="b">
        <f>AND(NOT(ISNUMBER(MATCH(DATE($A$2,INT((COLUMN()-1)/31.001)+$A$1,ROUNDUP(MOD(COLUMN()-1,31.001),0)),HolidayList[Date],0))),(VLOOKUP(VLOOKUP(WEEKDAY(DATE($A$2,INT((COLUMN()-1)/31.001)+$A$1,ROUNDUP(MOD(COLUMN()-1,31.001),0)),2),Sheet3!$D$1:$E$7,2,0),$NW$21:$NX$35,2,0)="Yes"))</f>
        <v>1</v>
      </c>
      <c r="EX3" s="13" t="b">
        <f>AND(NOT(ISNUMBER(MATCH(DATE($A$2,INT((COLUMN()-1)/31.001)+$A$1,ROUNDUP(MOD(COLUMN()-1,31.001),0)),HolidayList[Date],0))),(VLOOKUP(VLOOKUP(WEEKDAY(DATE($A$2,INT((COLUMN()-1)/31.001)+$A$1,ROUNDUP(MOD(COLUMN()-1,31.001),0)),2),Sheet3!$D$1:$E$7,2,0),$NW$21:$NX$35,2,0)="Yes"))</f>
        <v>1</v>
      </c>
      <c r="EY3" s="13" t="b">
        <f>AND(NOT(ISNUMBER(MATCH(DATE($A$2,INT((COLUMN()-1)/31.001)+$A$1,ROUNDUP(MOD(COLUMN()-1,31.001),0)),HolidayList[Date],0))),(VLOOKUP(VLOOKUP(WEEKDAY(DATE($A$2,INT((COLUMN()-1)/31.001)+$A$1,ROUNDUP(MOD(COLUMN()-1,31.001),0)),2),Sheet3!$D$1:$E$7,2,0),$NW$21:$NX$35,2,0)="Yes"))</f>
        <v>1</v>
      </c>
      <c r="EZ3" s="13" t="b">
        <f>AND(NOT(ISNUMBER(MATCH(DATE($A$2,INT((COLUMN()-1)/31.001)+$A$1,ROUNDUP(MOD(COLUMN()-1,31.001),0)),HolidayList[Date],0))),(VLOOKUP(VLOOKUP(WEEKDAY(DATE($A$2,INT((COLUMN()-1)/31.001)+$A$1,ROUNDUP(MOD(COLUMN()-1,31.001),0)),2),Sheet3!$D$1:$E$7,2,0),$NW$21:$NX$35,2,0)="Yes"))</f>
        <v>0</v>
      </c>
      <c r="FA3" s="13" t="b">
        <f>AND(NOT(ISNUMBER(MATCH(DATE($A$2,INT((COLUMN()-1)/31.001)+$A$1,ROUNDUP(MOD(COLUMN()-1,31.001),0)),HolidayList[Date],0))),(VLOOKUP(VLOOKUP(WEEKDAY(DATE($A$2,INT((COLUMN()-1)/31.001)+$A$1,ROUNDUP(MOD(COLUMN()-1,31.001),0)),2),Sheet3!$D$1:$E$7,2,0),$NW$21:$NX$35,2,0)="Yes"))</f>
        <v>0</v>
      </c>
      <c r="FB3" s="13" t="b">
        <f>AND(NOT(ISNUMBER(MATCH(DATE($A$2,INT((COLUMN()-1)/31.001)+$A$1,ROUNDUP(MOD(COLUMN()-1,31.001),0)),HolidayList[Date],0))),(VLOOKUP(VLOOKUP(WEEKDAY(DATE($A$2,INT((COLUMN()-1)/31.001)+$A$1,ROUNDUP(MOD(COLUMN()-1,31.001),0)),2),Sheet3!$D$1:$E$7,2,0),$NW$21:$NX$35,2,0)="Yes"))</f>
        <v>1</v>
      </c>
      <c r="FC3" s="13" t="b">
        <f>AND(NOT(ISNUMBER(MATCH(DATE($A$2,INT((COLUMN()-1)/31.001)+$A$1,ROUNDUP(MOD(COLUMN()-1,31.001),0)),HolidayList[Date],0))),(VLOOKUP(VLOOKUP(WEEKDAY(DATE($A$2,INT((COLUMN()-1)/31.001)+$A$1,ROUNDUP(MOD(COLUMN()-1,31.001),0)),2),Sheet3!$D$1:$E$7,2,0),$NW$21:$NX$35,2,0)="Yes"))</f>
        <v>1</v>
      </c>
      <c r="FD3" s="13" t="b">
        <f>AND(NOT(ISNUMBER(MATCH(DATE($A$2,INT((COLUMN()-1)/31.001)+$A$1,ROUNDUP(MOD(COLUMN()-1,31.001),0)),HolidayList[Date],0))),(VLOOKUP(VLOOKUP(WEEKDAY(DATE($A$2,INT((COLUMN()-1)/31.001)+$A$1,ROUNDUP(MOD(COLUMN()-1,31.001),0)),2),Sheet3!$D$1:$E$7,2,0),$NW$21:$NX$35,2,0)="Yes"))</f>
        <v>1</v>
      </c>
      <c r="FE3" s="13" t="b">
        <f>AND(NOT(ISNUMBER(MATCH(DATE($A$2,INT((COLUMN()-1)/31.001)+$A$1,ROUNDUP(MOD(COLUMN()-1,31.001),0)),HolidayList[Date],0))),(VLOOKUP(VLOOKUP(WEEKDAY(DATE($A$2,INT((COLUMN()-1)/31.001)+$A$1,ROUNDUP(MOD(COLUMN()-1,31.001),0)),2),Sheet3!$D$1:$E$7,2,0),$NW$21:$NX$35,2,0)="Yes"))</f>
        <v>1</v>
      </c>
      <c r="FF3" s="13" t="b">
        <f>AND(NOT(ISNUMBER(MATCH(DATE($A$2,INT((COLUMN()-1)/31.001)+$A$1,ROUNDUP(MOD(COLUMN()-1,31.001),0)),HolidayList[Date],0))),(VLOOKUP(VLOOKUP(WEEKDAY(DATE($A$2,INT((COLUMN()-1)/31.001)+$A$1,ROUNDUP(MOD(COLUMN()-1,31.001),0)),2),Sheet3!$D$1:$E$7,2,0),$NW$21:$NX$35,2,0)="Yes"))</f>
        <v>1</v>
      </c>
      <c r="FG3" s="13" t="b">
        <f>AND(NOT(ISNUMBER(MATCH(DATE($A$2,INT((COLUMN()-1)/31.001)+$A$1,ROUNDUP(MOD(COLUMN()-1,31.001),0)),HolidayList[Date],0))),(VLOOKUP(VLOOKUP(WEEKDAY(DATE($A$2,INT((COLUMN()-1)/31.001)+$A$1,ROUNDUP(MOD(COLUMN()-1,31.001),0)),2),Sheet3!$D$1:$E$7,2,0),$NW$21:$NX$35,2,0)="Yes"))</f>
        <v>0</v>
      </c>
      <c r="FH3" s="13" t="b">
        <f>AND(NOT(ISNUMBER(MATCH(DATE($A$2,INT((COLUMN()-1)/31.001)+$A$1,ROUNDUP(MOD(COLUMN()-1,31.001),0)),HolidayList[Date],0))),(VLOOKUP(VLOOKUP(WEEKDAY(DATE($A$2,INT((COLUMN()-1)/31.001)+$A$1,ROUNDUP(MOD(COLUMN()-1,31.001),0)),2),Sheet3!$D$1:$E$7,2,0),$NW$21:$NX$35,2,0)="Yes"))</f>
        <v>0</v>
      </c>
      <c r="FI3" s="13" t="b">
        <f>AND(NOT(ISNUMBER(MATCH(DATE($A$2,INT((COLUMN()-1)/31.001)+$A$1,ROUNDUP(MOD(COLUMN()-1,31.001),0)),HolidayList[Date],0))),(VLOOKUP(VLOOKUP(WEEKDAY(DATE($A$2,INT((COLUMN()-1)/31.001)+$A$1,ROUNDUP(MOD(COLUMN()-1,31.001),0)),2),Sheet3!$D$1:$E$7,2,0),$NW$21:$NX$35,2,0)="Yes"))</f>
        <v>1</v>
      </c>
      <c r="FJ3" s="13" t="b">
        <f>AND(NOT(ISNUMBER(MATCH(DATE($A$2,INT((COLUMN()-1)/31.001)+$A$1,ROUNDUP(MOD(COLUMN()-1,31.001),0)),HolidayList[Date],0))),(VLOOKUP(VLOOKUP(WEEKDAY(DATE($A$2,INT((COLUMN()-1)/31.001)+$A$1,ROUNDUP(MOD(COLUMN()-1,31.001),0)),2),Sheet3!$D$1:$E$7,2,0),$NW$21:$NX$35,2,0)="Yes"))</f>
        <v>1</v>
      </c>
      <c r="FK3" s="13" t="b">
        <f>AND(NOT(ISNUMBER(MATCH(DATE($A$2,INT((COLUMN()-1)/31.001)+$A$1,ROUNDUP(MOD(COLUMN()-1,31.001),0)),HolidayList[Date],0))),(VLOOKUP(VLOOKUP(WEEKDAY(DATE($A$2,INT((COLUMN()-1)/31.001)+$A$1,ROUNDUP(MOD(COLUMN()-1,31.001),0)),2),Sheet3!$D$1:$E$7,2,0),$NW$21:$NX$35,2,0)="Yes"))</f>
        <v>1</v>
      </c>
      <c r="FL3" s="13" t="b">
        <f>AND(NOT(ISNUMBER(MATCH(DATE($A$2,INT((COLUMN()-1)/31.001)+$A$1,ROUNDUP(MOD(COLUMN()-1,31.001),0)),HolidayList[Date],0))),(VLOOKUP(VLOOKUP(WEEKDAY(DATE($A$2,INT((COLUMN()-1)/31.001)+$A$1,ROUNDUP(MOD(COLUMN()-1,31.001),0)),2),Sheet3!$D$1:$E$7,2,0),$NW$21:$NX$35,2,0)="Yes"))</f>
        <v>1</v>
      </c>
      <c r="FM3" s="13" t="b">
        <f>AND(NOT(ISNUMBER(MATCH(DATE($A$2,INT((COLUMN()-1)/31.001)+$A$1,ROUNDUP(MOD(COLUMN()-1,31.001),0)),HolidayList[Date],0))),(VLOOKUP(VLOOKUP(WEEKDAY(DATE($A$2,INT((COLUMN()-1)/31.001)+$A$1,ROUNDUP(MOD(COLUMN()-1,31.001),0)),2),Sheet3!$D$1:$E$7,2,0),$NW$21:$NX$35,2,0)="Yes"))</f>
        <v>1</v>
      </c>
      <c r="FN3" s="13" t="b">
        <f>AND(NOT(ISNUMBER(MATCH(DATE($A$2,INT((COLUMN()-1)/31.001)+$A$1,ROUNDUP(MOD(COLUMN()-1,31.001),0)),HolidayList[Date],0))),(VLOOKUP(VLOOKUP(WEEKDAY(DATE($A$2,INT((COLUMN()-1)/31.001)+$A$1,ROUNDUP(MOD(COLUMN()-1,31.001),0)),2),Sheet3!$D$1:$E$7,2,0),$NW$21:$NX$35,2,0)="Yes"))</f>
        <v>0</v>
      </c>
      <c r="FO3" s="13" t="b">
        <f>AND(NOT(ISNUMBER(MATCH(DATE($A$2,INT((COLUMN()-1)/31.001)+$A$1,ROUNDUP(MOD(COLUMN()-1,31.001),0)),HolidayList[Date],0))),(VLOOKUP(VLOOKUP(WEEKDAY(DATE($A$2,INT((COLUMN()-1)/31.001)+$A$1,ROUNDUP(MOD(COLUMN()-1,31.001),0)),2),Sheet3!$D$1:$E$7,2,0),$NW$21:$NX$35,2,0)="Yes"))</f>
        <v>0</v>
      </c>
      <c r="FP3" s="13" t="b">
        <f>AND(NOT(ISNUMBER(MATCH(DATE($A$2,INT((COLUMN()-1)/31.001)+$A$1,ROUNDUP(MOD(COLUMN()-1,31.001),0)),HolidayList[Date],0))),(VLOOKUP(VLOOKUP(WEEKDAY(DATE($A$2,INT((COLUMN()-1)/31.001)+$A$1,ROUNDUP(MOD(COLUMN()-1,31.001),0)),2),Sheet3!$D$1:$E$7,2,0),$NW$21:$NX$35,2,0)="Yes"))</f>
        <v>1</v>
      </c>
      <c r="FQ3" s="13" t="b">
        <f>AND(NOT(ISNUMBER(MATCH(DATE($A$2,INT((COLUMN()-1)/31.001)+$A$1,ROUNDUP(MOD(COLUMN()-1,31.001),0)),HolidayList[Date],0))),(VLOOKUP(VLOOKUP(WEEKDAY(DATE($A$2,INT((COLUMN()-1)/31.001)+$A$1,ROUNDUP(MOD(COLUMN()-1,31.001),0)),2),Sheet3!$D$1:$E$7,2,0),$NW$21:$NX$35,2,0)="Yes"))</f>
        <v>1</v>
      </c>
      <c r="FR3" s="13" t="b">
        <f>AND(NOT(ISNUMBER(MATCH(DATE($A$2,INT((COLUMN()-1)/31.001)+$A$1,ROUNDUP(MOD(COLUMN()-1,31.001),0)),HolidayList[Date],0))),(VLOOKUP(VLOOKUP(WEEKDAY(DATE($A$2,INT((COLUMN()-1)/31.001)+$A$1,ROUNDUP(MOD(COLUMN()-1,31.001),0)),2),Sheet3!$D$1:$E$7,2,0),$NW$21:$NX$35,2,0)="Yes"))</f>
        <v>1</v>
      </c>
      <c r="FS3" s="13" t="b">
        <f>AND(NOT(ISNUMBER(MATCH(DATE($A$2,INT((COLUMN()-1)/31.001)+$A$1,ROUNDUP(MOD(COLUMN()-1,31.001),0)),HolidayList[Date],0))),(VLOOKUP(VLOOKUP(WEEKDAY(DATE($A$2,INT((COLUMN()-1)/31.001)+$A$1,ROUNDUP(MOD(COLUMN()-1,31.001),0)),2),Sheet3!$D$1:$E$7,2,0),$NW$21:$NX$35,2,0)="Yes"))</f>
        <v>1</v>
      </c>
      <c r="FT3" s="13" t="b">
        <f>AND(NOT(ISNUMBER(MATCH(DATE($A$2,INT((COLUMN()-1)/31.001)+$A$1,ROUNDUP(MOD(COLUMN()-1,31.001),0)),HolidayList[Date],0))),(VLOOKUP(VLOOKUP(WEEKDAY(DATE($A$2,INT((COLUMN()-1)/31.001)+$A$1,ROUNDUP(MOD(COLUMN()-1,31.001),0)),2),Sheet3!$D$1:$E$7,2,0),$NW$21:$NX$35,2,0)="Yes"))</f>
        <v>1</v>
      </c>
      <c r="FU3" s="13" t="b">
        <f>AND(NOT(ISNUMBER(MATCH(DATE($A$2,INT((COLUMN()-1)/31.001)+$A$1,ROUNDUP(MOD(COLUMN()-1,31.001),0)),HolidayList[Date],0))),(VLOOKUP(VLOOKUP(WEEKDAY(DATE($A$2,INT((COLUMN()-1)/31.001)+$A$1,ROUNDUP(MOD(COLUMN()-1,31.001),0)),2),Sheet3!$D$1:$E$7,2,0),$NW$21:$NX$35,2,0)="Yes"))</f>
        <v>0</v>
      </c>
      <c r="FV3" s="13" t="b">
        <f>AND(NOT(ISNUMBER(MATCH(DATE($A$2,INT((COLUMN()-1)/31.001)+$A$1,ROUNDUP(MOD(COLUMN()-1,31.001),0)),HolidayList[Date],0))),(VLOOKUP(VLOOKUP(WEEKDAY(DATE($A$2,INT((COLUMN()-1)/31.001)+$A$1,ROUNDUP(MOD(COLUMN()-1,31.001),0)),2),Sheet3!$D$1:$E$7,2,0),$NW$21:$NX$35,2,0)="Yes"))</f>
        <v>0</v>
      </c>
      <c r="FW3" s="13" t="b">
        <f>AND(NOT(ISNUMBER(MATCH(DATE($A$2,INT((COLUMN()-1)/31.001)+$A$1,ROUNDUP(MOD(COLUMN()-1,31.001),0)),HolidayList[Date],0))),(VLOOKUP(VLOOKUP(WEEKDAY(DATE($A$2,INT((COLUMN()-1)/31.001)+$A$1,ROUNDUP(MOD(COLUMN()-1,31.001),0)),2),Sheet3!$D$1:$E$7,2,0),$NW$21:$NX$35,2,0)="Yes"))</f>
        <v>1</v>
      </c>
      <c r="FX3" s="13" t="b">
        <f>AND(NOT(ISNUMBER(MATCH(DATE($A$2,INT((COLUMN()-1)/31.001)+$A$1,ROUNDUP(MOD(COLUMN()-1,31.001),0)),HolidayList[Date],0))),(VLOOKUP(VLOOKUP(WEEKDAY(DATE($A$2,INT((COLUMN()-1)/31.001)+$A$1,ROUNDUP(MOD(COLUMN()-1,31.001),0)),2),Sheet3!$D$1:$E$7,2,0),$NW$21:$NX$35,2,0)="Yes"))</f>
        <v>1</v>
      </c>
      <c r="FY3" s="13" t="b">
        <f>AND(NOT(ISNUMBER(MATCH(DATE($A$2,INT((COLUMN()-1)/31.001)+$A$1,ROUNDUP(MOD(COLUMN()-1,31.001),0)),HolidayList[Date],0))),(VLOOKUP(VLOOKUP(WEEKDAY(DATE($A$2,INT((COLUMN()-1)/31.001)+$A$1,ROUNDUP(MOD(COLUMN()-1,31.001),0)),2),Sheet3!$D$1:$E$7,2,0),$NW$21:$NX$35,2,0)="Yes"))</f>
        <v>1</v>
      </c>
      <c r="FZ3" s="13" t="b">
        <f>AND(NOT(ISNUMBER(MATCH(DATE($A$2,INT((COLUMN()-1)/31.001)+$A$1,ROUNDUP(MOD(COLUMN()-1,31.001),0)),HolidayList[Date],0))),(VLOOKUP(VLOOKUP(WEEKDAY(DATE($A$2,INT((COLUMN()-1)/31.001)+$A$1,ROUNDUP(MOD(COLUMN()-1,31.001),0)),2),Sheet3!$D$1:$E$7,2,0),$NW$21:$NX$35,2,0)="Yes"))</f>
        <v>1</v>
      </c>
      <c r="GA3" s="13" t="b">
        <f>AND(NOT(ISNUMBER(MATCH(DATE($A$2,INT((COLUMN()-1)/31.001)+$A$1,ROUNDUP(MOD(COLUMN()-1,31.001),0)),HolidayList[Date],0))),(VLOOKUP(VLOOKUP(WEEKDAY(DATE($A$2,INT((COLUMN()-1)/31.001)+$A$1,ROUNDUP(MOD(COLUMN()-1,31.001),0)),2),Sheet3!$D$1:$E$7,2,0),$NW$21:$NX$35,2,0)="Yes"))</f>
        <v>1</v>
      </c>
      <c r="GB3" s="13" t="b">
        <f>AND(NOT(ISNUMBER(MATCH(DATE($A$2,INT((COLUMN()-1)/31.001)+$A$1,ROUNDUP(MOD(COLUMN()-1,31.001),0)),HolidayList[Date],0))),(VLOOKUP(VLOOKUP(WEEKDAY(DATE($A$2,INT((COLUMN()-1)/31.001)+$A$1,ROUNDUP(MOD(COLUMN()-1,31.001),0)),2),Sheet3!$D$1:$E$7,2,0),$NW$21:$NX$35,2,0)="Yes"))</f>
        <v>0</v>
      </c>
      <c r="GC3" s="13" t="b">
        <f>AND(NOT(ISNUMBER(MATCH(DATE($A$2,INT((COLUMN()-1)/31.001)+$A$1,ROUNDUP(MOD(COLUMN()-1,31.001),0)),HolidayList[Date],0))),(VLOOKUP(VLOOKUP(WEEKDAY(DATE($A$2,INT((COLUMN()-1)/31.001)+$A$1,ROUNDUP(MOD(COLUMN()-1,31.001),0)),2),Sheet3!$D$1:$E$7,2,0),$NW$21:$NX$35,2,0)="Yes"))</f>
        <v>0</v>
      </c>
      <c r="GD3" s="13" t="b">
        <f>AND(NOT(ISNUMBER(MATCH(DATE($A$2,INT((COLUMN()-1)/31.001)+$A$1,ROUNDUP(MOD(COLUMN()-1,31.001),0)),HolidayList[Date],0))),(VLOOKUP(VLOOKUP(WEEKDAY(DATE($A$2,INT((COLUMN()-1)/31.001)+$A$1,ROUNDUP(MOD(COLUMN()-1,31.001),0)),2),Sheet3!$D$1:$E$7,2,0),$NW$21:$NX$35,2,0)="Yes"))</f>
        <v>1</v>
      </c>
      <c r="GE3" s="13" t="b">
        <f>AND(NOT(ISNUMBER(MATCH(DATE($A$2,INT((COLUMN()-1)/31.001)+$A$1,ROUNDUP(MOD(COLUMN()-1,31.001),0)),HolidayList[Date],0))),(VLOOKUP(VLOOKUP(WEEKDAY(DATE($A$2,INT((COLUMN()-1)/31.001)+$A$1,ROUNDUP(MOD(COLUMN()-1,31.001),0)),2),Sheet3!$D$1:$E$7,2,0),$NW$21:$NX$35,2,0)="Yes"))</f>
        <v>1</v>
      </c>
      <c r="GF3" s="13" t="b">
        <f>AND(NOT(ISNUMBER(MATCH(DATE($A$2,INT((COLUMN()-1)/31.001)+$A$1,ROUNDUP(MOD(COLUMN()-1,31.001),0)),HolidayList[Date],0))),(VLOOKUP(VLOOKUP(WEEKDAY(DATE($A$2,INT((COLUMN()-1)/31.001)+$A$1,ROUNDUP(MOD(COLUMN()-1,31.001),0)),2),Sheet3!$D$1:$E$7,2,0),$NW$21:$NX$35,2,0)="Yes"))</f>
        <v>1</v>
      </c>
      <c r="GG3" s="13" t="b">
        <f>AND(NOT(ISNUMBER(MATCH(DATE($A$2,INT((COLUMN()-1)/31.001)+$A$1,ROUNDUP(MOD(COLUMN()-1,31.001),0)),HolidayList[Date],0))),(VLOOKUP(VLOOKUP(WEEKDAY(DATE($A$2,INT((COLUMN()-1)/31.001)+$A$1,ROUNDUP(MOD(COLUMN()-1,31.001),0)),2),Sheet3!$D$1:$E$7,2,0),$NW$21:$NX$35,2,0)="Yes"))</f>
        <v>1</v>
      </c>
      <c r="GH3" s="13" t="b">
        <f>AND(NOT(ISNUMBER(MATCH(DATE($A$2,INT((COLUMN()-1)/31.001)+$A$1,ROUNDUP(MOD(COLUMN()-1,31.001),0)),HolidayList[Date],0))),(VLOOKUP(VLOOKUP(WEEKDAY(DATE($A$2,INT((COLUMN()-1)/31.001)+$A$1,ROUNDUP(MOD(COLUMN()-1,31.001),0)),2),Sheet3!$D$1:$E$7,2,0),$NW$21:$NX$35,2,0)="Yes"))</f>
        <v>1</v>
      </c>
      <c r="GI3" s="13" t="b">
        <f>AND(NOT(ISNUMBER(MATCH(DATE($A$2,INT((COLUMN()-1)/31.001)+$A$1,ROUNDUP(MOD(COLUMN()-1,31.001),0)),HolidayList[Date],0))),(VLOOKUP(VLOOKUP(WEEKDAY(DATE($A$2,INT((COLUMN()-1)/31.001)+$A$1,ROUNDUP(MOD(COLUMN()-1,31.001),0)),2),Sheet3!$D$1:$E$7,2,0),$NW$21:$NX$35,2,0)="Yes"))</f>
        <v>1</v>
      </c>
      <c r="GJ3" s="13" t="b">
        <f>AND(NOT(ISNUMBER(MATCH(DATE($A$2,INT((COLUMN()-1)/31.001)+$A$1,ROUNDUP(MOD(COLUMN()-1,31.001),0)),HolidayList[Date],0))),(VLOOKUP(VLOOKUP(WEEKDAY(DATE($A$2,INT((COLUMN()-1)/31.001)+$A$1,ROUNDUP(MOD(COLUMN()-1,31.001),0)),2),Sheet3!$D$1:$E$7,2,0),$NW$21:$NX$35,2,0)="Yes"))</f>
        <v>0</v>
      </c>
      <c r="GK3" s="13" t="b">
        <f>AND(NOT(ISNUMBER(MATCH(DATE($A$2,INT((COLUMN()-1)/31.001)+$A$1,ROUNDUP(MOD(COLUMN()-1,31.001),0)),HolidayList[Date],0))),(VLOOKUP(VLOOKUP(WEEKDAY(DATE($A$2,INT((COLUMN()-1)/31.001)+$A$1,ROUNDUP(MOD(COLUMN()-1,31.001),0)),2),Sheet3!$D$1:$E$7,2,0),$NW$21:$NX$35,2,0)="Yes"))</f>
        <v>0</v>
      </c>
      <c r="GL3" s="13" t="b">
        <f>AND(NOT(ISNUMBER(MATCH(DATE($A$2,INT((COLUMN()-1)/31.001)+$A$1,ROUNDUP(MOD(COLUMN()-1,31.001),0)),HolidayList[Date],0))),(VLOOKUP(VLOOKUP(WEEKDAY(DATE($A$2,INT((COLUMN()-1)/31.001)+$A$1,ROUNDUP(MOD(COLUMN()-1,31.001),0)),2),Sheet3!$D$1:$E$7,2,0),$NW$21:$NX$35,2,0)="Yes"))</f>
        <v>1</v>
      </c>
      <c r="GM3" s="13" t="b">
        <f>AND(NOT(ISNUMBER(MATCH(DATE($A$2,INT((COLUMN()-1)/31.001)+$A$1,ROUNDUP(MOD(COLUMN()-1,31.001),0)),HolidayList[Date],0))),(VLOOKUP(VLOOKUP(WEEKDAY(DATE($A$2,INT((COLUMN()-1)/31.001)+$A$1,ROUNDUP(MOD(COLUMN()-1,31.001),0)),2),Sheet3!$D$1:$E$7,2,0),$NW$21:$NX$35,2,0)="Yes"))</f>
        <v>1</v>
      </c>
      <c r="GN3" s="13" t="b">
        <f>AND(NOT(ISNUMBER(MATCH(DATE($A$2,INT((COLUMN()-1)/31.001)+$A$1,ROUNDUP(MOD(COLUMN()-1,31.001),0)),HolidayList[Date],0))),(VLOOKUP(VLOOKUP(WEEKDAY(DATE($A$2,INT((COLUMN()-1)/31.001)+$A$1,ROUNDUP(MOD(COLUMN()-1,31.001),0)),2),Sheet3!$D$1:$E$7,2,0),$NW$21:$NX$35,2,0)="Yes"))</f>
        <v>1</v>
      </c>
      <c r="GO3" s="13" t="b">
        <f>AND(NOT(ISNUMBER(MATCH(DATE($A$2,INT((COLUMN()-1)/31.001)+$A$1,ROUNDUP(MOD(COLUMN()-1,31.001),0)),HolidayList[Date],0))),(VLOOKUP(VLOOKUP(WEEKDAY(DATE($A$2,INT((COLUMN()-1)/31.001)+$A$1,ROUNDUP(MOD(COLUMN()-1,31.001),0)),2),Sheet3!$D$1:$E$7,2,0),$NW$21:$NX$35,2,0)="Yes"))</f>
        <v>1</v>
      </c>
      <c r="GP3" s="13" t="b">
        <f>AND(NOT(ISNUMBER(MATCH(DATE($A$2,INT((COLUMN()-1)/31.001)+$A$1,ROUNDUP(MOD(COLUMN()-1,31.001),0)),HolidayList[Date],0))),(VLOOKUP(VLOOKUP(WEEKDAY(DATE($A$2,INT((COLUMN()-1)/31.001)+$A$1,ROUNDUP(MOD(COLUMN()-1,31.001),0)),2),Sheet3!$D$1:$E$7,2,0),$NW$21:$NX$35,2,0)="Yes"))</f>
        <v>1</v>
      </c>
      <c r="GQ3" s="13" t="b">
        <f>AND(NOT(ISNUMBER(MATCH(DATE($A$2,INT((COLUMN()-1)/31.001)+$A$1,ROUNDUP(MOD(COLUMN()-1,31.001),0)),HolidayList[Date],0))),(VLOOKUP(VLOOKUP(WEEKDAY(DATE($A$2,INT((COLUMN()-1)/31.001)+$A$1,ROUNDUP(MOD(COLUMN()-1,31.001),0)),2),Sheet3!$D$1:$E$7,2,0),$NW$21:$NX$35,2,0)="Yes"))</f>
        <v>0</v>
      </c>
      <c r="GR3" s="13" t="b">
        <f>AND(NOT(ISNUMBER(MATCH(DATE($A$2,INT((COLUMN()-1)/31.001)+$A$1,ROUNDUP(MOD(COLUMN()-1,31.001),0)),HolidayList[Date],0))),(VLOOKUP(VLOOKUP(WEEKDAY(DATE($A$2,INT((COLUMN()-1)/31.001)+$A$1,ROUNDUP(MOD(COLUMN()-1,31.001),0)),2),Sheet3!$D$1:$E$7,2,0),$NW$21:$NX$35,2,0)="Yes"))</f>
        <v>0</v>
      </c>
      <c r="GS3" s="13" t="b">
        <f>AND(NOT(ISNUMBER(MATCH(DATE($A$2,INT((COLUMN()-1)/31.001)+$A$1,ROUNDUP(MOD(COLUMN()-1,31.001),0)),HolidayList[Date],0))),(VLOOKUP(VLOOKUP(WEEKDAY(DATE($A$2,INT((COLUMN()-1)/31.001)+$A$1,ROUNDUP(MOD(COLUMN()-1,31.001),0)),2),Sheet3!$D$1:$E$7,2,0),$NW$21:$NX$35,2,0)="Yes"))</f>
        <v>1</v>
      </c>
      <c r="GT3" s="13" t="b">
        <f>AND(NOT(ISNUMBER(MATCH(DATE($A$2,INT((COLUMN()-1)/31.001)+$A$1,ROUNDUP(MOD(COLUMN()-1,31.001),0)),HolidayList[Date],0))),(VLOOKUP(VLOOKUP(WEEKDAY(DATE($A$2,INT((COLUMN()-1)/31.001)+$A$1,ROUNDUP(MOD(COLUMN()-1,31.001),0)),2),Sheet3!$D$1:$E$7,2,0),$NW$21:$NX$35,2,0)="Yes"))</f>
        <v>1</v>
      </c>
      <c r="GU3" s="13" t="b">
        <f>AND(NOT(ISNUMBER(MATCH(DATE($A$2,INT((COLUMN()-1)/31.001)+$A$1,ROUNDUP(MOD(COLUMN()-1,31.001),0)),HolidayList[Date],0))),(VLOOKUP(VLOOKUP(WEEKDAY(DATE($A$2,INT((COLUMN()-1)/31.001)+$A$1,ROUNDUP(MOD(COLUMN()-1,31.001),0)),2),Sheet3!$D$1:$E$7,2,0),$NW$21:$NX$35,2,0)="Yes"))</f>
        <v>1</v>
      </c>
      <c r="GV3" s="13" t="b">
        <f>AND(NOT(ISNUMBER(MATCH(DATE($A$2,INT((COLUMN()-1)/31.001)+$A$1,ROUNDUP(MOD(COLUMN()-1,31.001),0)),HolidayList[Date],0))),(VLOOKUP(VLOOKUP(WEEKDAY(DATE($A$2,INT((COLUMN()-1)/31.001)+$A$1,ROUNDUP(MOD(COLUMN()-1,31.001),0)),2),Sheet3!$D$1:$E$7,2,0),$NW$21:$NX$35,2,0)="Yes"))</f>
        <v>1</v>
      </c>
      <c r="GW3" s="13" t="b">
        <f>AND(NOT(ISNUMBER(MATCH(DATE($A$2,INT((COLUMN()-1)/31.001)+$A$1,ROUNDUP(MOD(COLUMN()-1,31.001),0)),HolidayList[Date],0))),(VLOOKUP(VLOOKUP(WEEKDAY(DATE($A$2,INT((COLUMN()-1)/31.001)+$A$1,ROUNDUP(MOD(COLUMN()-1,31.001),0)),2),Sheet3!$D$1:$E$7,2,0),$NW$21:$NX$35,2,0)="Yes"))</f>
        <v>1</v>
      </c>
      <c r="GX3" s="13" t="b">
        <f>AND(NOT(ISNUMBER(MATCH(DATE($A$2,INT((COLUMN()-1)/31.001)+$A$1,ROUNDUP(MOD(COLUMN()-1,31.001),0)),HolidayList[Date],0))),(VLOOKUP(VLOOKUP(WEEKDAY(DATE($A$2,INT((COLUMN()-1)/31.001)+$A$1,ROUNDUP(MOD(COLUMN()-1,31.001),0)),2),Sheet3!$D$1:$E$7,2,0),$NW$21:$NX$35,2,0)="Yes"))</f>
        <v>0</v>
      </c>
      <c r="GY3" s="13" t="b">
        <f>AND(NOT(ISNUMBER(MATCH(DATE($A$2,INT((COLUMN()-1)/31.001)+$A$1,ROUNDUP(MOD(COLUMN()-1,31.001),0)),HolidayList[Date],0))),(VLOOKUP(VLOOKUP(WEEKDAY(DATE($A$2,INT((COLUMN()-1)/31.001)+$A$1,ROUNDUP(MOD(COLUMN()-1,31.001),0)),2),Sheet3!$D$1:$E$7,2,0),$NW$21:$NX$35,2,0)="Yes"))</f>
        <v>0</v>
      </c>
      <c r="GZ3" s="13" t="b">
        <f>AND(NOT(ISNUMBER(MATCH(DATE($A$2,INT((COLUMN()-1)/31.001)+$A$1,ROUNDUP(MOD(COLUMN()-1,31.001),0)),HolidayList[Date],0))),(VLOOKUP(VLOOKUP(WEEKDAY(DATE($A$2,INT((COLUMN()-1)/31.001)+$A$1,ROUNDUP(MOD(COLUMN()-1,31.001),0)),2),Sheet3!$D$1:$E$7,2,0),$NW$21:$NX$35,2,0)="Yes"))</f>
        <v>1</v>
      </c>
      <c r="HA3" s="13" t="b">
        <f>AND(NOT(ISNUMBER(MATCH(DATE($A$2,INT((COLUMN()-1)/31.001)+$A$1,ROUNDUP(MOD(COLUMN()-1,31.001),0)),HolidayList[Date],0))),(VLOOKUP(VLOOKUP(WEEKDAY(DATE($A$2,INT((COLUMN()-1)/31.001)+$A$1,ROUNDUP(MOD(COLUMN()-1,31.001),0)),2),Sheet3!$D$1:$E$7,2,0),$NW$21:$NX$35,2,0)="Yes"))</f>
        <v>1</v>
      </c>
      <c r="HB3" s="13" t="b">
        <f>AND(NOT(ISNUMBER(MATCH(DATE($A$2,INT((COLUMN()-1)/31.001)+$A$1,ROUNDUP(MOD(COLUMN()-1,31.001),0)),HolidayList[Date],0))),(VLOOKUP(VLOOKUP(WEEKDAY(DATE($A$2,INT((COLUMN()-1)/31.001)+$A$1,ROUNDUP(MOD(COLUMN()-1,31.001),0)),2),Sheet3!$D$1:$E$7,2,0),$NW$21:$NX$35,2,0)="Yes"))</f>
        <v>1</v>
      </c>
      <c r="HC3" s="13" t="b">
        <f>AND(NOT(ISNUMBER(MATCH(DATE($A$2,INT((COLUMN()-1)/31.001)+$A$1,ROUNDUP(MOD(COLUMN()-1,31.001),0)),HolidayList[Date],0))),(VLOOKUP(VLOOKUP(WEEKDAY(DATE($A$2,INT((COLUMN()-1)/31.001)+$A$1,ROUNDUP(MOD(COLUMN()-1,31.001),0)),2),Sheet3!$D$1:$E$7,2,0),$NW$21:$NX$35,2,0)="Yes"))</f>
        <v>1</v>
      </c>
      <c r="HD3" s="13" t="b">
        <f>AND(NOT(ISNUMBER(MATCH(DATE($A$2,INT((COLUMN()-1)/31.001)+$A$1,ROUNDUP(MOD(COLUMN()-1,31.001),0)),HolidayList[Date],0))),(VLOOKUP(VLOOKUP(WEEKDAY(DATE($A$2,INT((COLUMN()-1)/31.001)+$A$1,ROUNDUP(MOD(COLUMN()-1,31.001),0)),2),Sheet3!$D$1:$E$7,2,0),$NW$21:$NX$35,2,0)="Yes"))</f>
        <v>1</v>
      </c>
      <c r="HE3" s="13" t="b">
        <f>AND(NOT(ISNUMBER(MATCH(DATE($A$2,INT((COLUMN()-1)/31.001)+$A$1,ROUNDUP(MOD(COLUMN()-1,31.001),0)),HolidayList[Date],0))),(VLOOKUP(VLOOKUP(WEEKDAY(DATE($A$2,INT((COLUMN()-1)/31.001)+$A$1,ROUNDUP(MOD(COLUMN()-1,31.001),0)),2),Sheet3!$D$1:$E$7,2,0),$NW$21:$NX$35,2,0)="Yes"))</f>
        <v>0</v>
      </c>
      <c r="HF3" s="13" t="b">
        <f>AND(NOT(ISNUMBER(MATCH(DATE($A$2,INT((COLUMN()-1)/31.001)+$A$1,ROUNDUP(MOD(COLUMN()-1,31.001),0)),HolidayList[Date],0))),(VLOOKUP(VLOOKUP(WEEKDAY(DATE($A$2,INT((COLUMN()-1)/31.001)+$A$1,ROUNDUP(MOD(COLUMN()-1,31.001),0)),2),Sheet3!$D$1:$E$7,2,0),$NW$21:$NX$35,2,0)="Yes"))</f>
        <v>0</v>
      </c>
      <c r="HG3" s="13" t="b">
        <f>AND(NOT(ISNUMBER(MATCH(DATE($A$2,INT((COLUMN()-1)/31.001)+$A$1,ROUNDUP(MOD(COLUMN()-1,31.001),0)),HolidayList[Date],0))),(VLOOKUP(VLOOKUP(WEEKDAY(DATE($A$2,INT((COLUMN()-1)/31.001)+$A$1,ROUNDUP(MOD(COLUMN()-1,31.001),0)),2),Sheet3!$D$1:$E$7,2,0),$NW$21:$NX$35,2,0)="Yes"))</f>
        <v>1</v>
      </c>
      <c r="HH3" s="13" t="b">
        <f>AND(NOT(ISNUMBER(MATCH(DATE($A$2,INT((COLUMN()-1)/31.001)+$A$1,ROUNDUP(MOD(COLUMN()-1,31.001),0)),HolidayList[Date],0))),(VLOOKUP(VLOOKUP(WEEKDAY(DATE($A$2,INT((COLUMN()-1)/31.001)+$A$1,ROUNDUP(MOD(COLUMN()-1,31.001),0)),2),Sheet3!$D$1:$E$7,2,0),$NW$21:$NX$35,2,0)="Yes"))</f>
        <v>1</v>
      </c>
      <c r="HI3" s="13" t="b">
        <f>AND(NOT(ISNUMBER(MATCH(DATE($A$2,INT((COLUMN()-1)/31.001)+$A$1,ROUNDUP(MOD(COLUMN()-1,31.001),0)),HolidayList[Date],0))),(VLOOKUP(VLOOKUP(WEEKDAY(DATE($A$2,INT((COLUMN()-1)/31.001)+$A$1,ROUNDUP(MOD(COLUMN()-1,31.001),0)),2),Sheet3!$D$1:$E$7,2,0),$NW$21:$NX$35,2,0)="Yes"))</f>
        <v>1</v>
      </c>
      <c r="HJ3" s="13" t="b">
        <f>AND(NOT(ISNUMBER(MATCH(DATE($A$2,INT((COLUMN()-1)/31.001)+$A$1,ROUNDUP(MOD(COLUMN()-1,31.001),0)),HolidayList[Date],0))),(VLOOKUP(VLOOKUP(WEEKDAY(DATE($A$2,INT((COLUMN()-1)/31.001)+$A$1,ROUNDUP(MOD(COLUMN()-1,31.001),0)),2),Sheet3!$D$1:$E$7,2,0),$NW$21:$NX$35,2,0)="Yes"))</f>
        <v>1</v>
      </c>
      <c r="HK3" s="13" t="b">
        <f>AND(NOT(ISNUMBER(MATCH(DATE($A$2,INT((COLUMN()-1)/31.001)+$A$1,ROUNDUP(MOD(COLUMN()-1,31.001),0)),HolidayList[Date],0))),(VLOOKUP(VLOOKUP(WEEKDAY(DATE($A$2,INT((COLUMN()-1)/31.001)+$A$1,ROUNDUP(MOD(COLUMN()-1,31.001),0)),2),Sheet3!$D$1:$E$7,2,0),$NW$21:$NX$35,2,0)="Yes"))</f>
        <v>1</v>
      </c>
      <c r="HL3" s="13" t="b">
        <f>AND(NOT(ISNUMBER(MATCH(DATE($A$2,INT((COLUMN()-1)/31.001)+$A$1,ROUNDUP(MOD(COLUMN()-1,31.001),0)),HolidayList[Date],0))),(VLOOKUP(VLOOKUP(WEEKDAY(DATE($A$2,INT((COLUMN()-1)/31.001)+$A$1,ROUNDUP(MOD(COLUMN()-1,31.001),0)),2),Sheet3!$D$1:$E$7,2,0),$NW$21:$NX$35,2,0)="Yes"))</f>
        <v>0</v>
      </c>
      <c r="HM3" s="13" t="b">
        <f>AND(NOT(ISNUMBER(MATCH(DATE($A$2,INT((COLUMN()-1)/31.001)+$A$1,ROUNDUP(MOD(COLUMN()-1,31.001),0)),HolidayList[Date],0))),(VLOOKUP(VLOOKUP(WEEKDAY(DATE($A$2,INT((COLUMN()-1)/31.001)+$A$1,ROUNDUP(MOD(COLUMN()-1,31.001),0)),2),Sheet3!$D$1:$E$7,2,0),$NW$21:$NX$35,2,0)="Yes"))</f>
        <v>0</v>
      </c>
      <c r="HN3" s="13" t="b">
        <f>AND(NOT(ISNUMBER(MATCH(DATE($A$2,INT((COLUMN()-1)/31.001)+$A$1,ROUNDUP(MOD(COLUMN()-1,31.001),0)),HolidayList[Date],0))),(VLOOKUP(VLOOKUP(WEEKDAY(DATE($A$2,INT((COLUMN()-1)/31.001)+$A$1,ROUNDUP(MOD(COLUMN()-1,31.001),0)),2),Sheet3!$D$1:$E$7,2,0),$NW$21:$NX$35,2,0)="Yes"))</f>
        <v>1</v>
      </c>
      <c r="HO3" s="13" t="b">
        <f>AND(NOT(ISNUMBER(MATCH(DATE($A$2,INT((COLUMN()-1)/31.001)+$A$1,ROUNDUP(MOD(COLUMN()-1,31.001),0)),HolidayList[Date],0))),(VLOOKUP(VLOOKUP(WEEKDAY(DATE($A$2,INT((COLUMN()-1)/31.001)+$A$1,ROUNDUP(MOD(COLUMN()-1,31.001),0)),2),Sheet3!$D$1:$E$7,2,0),$NW$21:$NX$35,2,0)="Yes"))</f>
        <v>1</v>
      </c>
      <c r="HP3" s="13" t="b">
        <f>AND(NOT(ISNUMBER(MATCH(DATE($A$2,INT((COLUMN()-1)/31.001)+$A$1,ROUNDUP(MOD(COLUMN()-1,31.001),0)),HolidayList[Date],0))),(VLOOKUP(VLOOKUP(WEEKDAY(DATE($A$2,INT((COLUMN()-1)/31.001)+$A$1,ROUNDUP(MOD(COLUMN()-1,31.001),0)),2),Sheet3!$D$1:$E$7,2,0),$NW$21:$NX$35,2,0)="Yes"))</f>
        <v>1</v>
      </c>
      <c r="HQ3" s="13" t="b">
        <f>AND(NOT(ISNUMBER(MATCH(DATE($A$2,INT((COLUMN()-1)/31.001)+$A$1,ROUNDUP(MOD(COLUMN()-1,31.001),0)),HolidayList[Date],0))),(VLOOKUP(VLOOKUP(WEEKDAY(DATE($A$2,INT((COLUMN()-1)/31.001)+$A$1,ROUNDUP(MOD(COLUMN()-1,31.001),0)),2),Sheet3!$D$1:$E$7,2,0),$NW$21:$NX$35,2,0)="Yes"))</f>
        <v>1</v>
      </c>
      <c r="HR3" s="13" t="b">
        <f>AND(NOT(ISNUMBER(MATCH(DATE($A$2,INT((COLUMN()-1)/31.001)+$A$1,ROUNDUP(MOD(COLUMN()-1,31.001),0)),HolidayList[Date],0))),(VLOOKUP(VLOOKUP(WEEKDAY(DATE($A$2,INT((COLUMN()-1)/31.001)+$A$1,ROUNDUP(MOD(COLUMN()-1,31.001),0)),2),Sheet3!$D$1:$E$7,2,0),$NW$21:$NX$35,2,0)="Yes"))</f>
        <v>1</v>
      </c>
      <c r="HS3" s="13" t="b">
        <f>AND(NOT(ISNUMBER(MATCH(DATE($A$2,INT((COLUMN()-1)/31.001)+$A$1,ROUNDUP(MOD(COLUMN()-1,31.001),0)),HolidayList[Date],0))),(VLOOKUP(VLOOKUP(WEEKDAY(DATE($A$2,INT((COLUMN()-1)/31.001)+$A$1,ROUNDUP(MOD(COLUMN()-1,31.001),0)),2),Sheet3!$D$1:$E$7,2,0),$NW$21:$NX$35,2,0)="Yes"))</f>
        <v>0</v>
      </c>
      <c r="HT3" s="13" t="b">
        <f>AND(NOT(ISNUMBER(MATCH(DATE($A$2,INT((COLUMN()-1)/31.001)+$A$1,ROUNDUP(MOD(COLUMN()-1,31.001),0)),HolidayList[Date],0))),(VLOOKUP(VLOOKUP(WEEKDAY(DATE($A$2,INT((COLUMN()-1)/31.001)+$A$1,ROUNDUP(MOD(COLUMN()-1,31.001),0)),2),Sheet3!$D$1:$E$7,2,0),$NW$21:$NX$35,2,0)="Yes"))</f>
        <v>0</v>
      </c>
      <c r="HU3" s="13" t="b">
        <f>AND(NOT(ISNUMBER(MATCH(DATE($A$2,INT((COLUMN()-1)/31.001)+$A$1,ROUNDUP(MOD(COLUMN()-1,31.001),0)),HolidayList[Date],0))),(VLOOKUP(VLOOKUP(WEEKDAY(DATE($A$2,INT((COLUMN()-1)/31.001)+$A$1,ROUNDUP(MOD(COLUMN()-1,31.001),0)),2),Sheet3!$D$1:$E$7,2,0),$NW$21:$NX$35,2,0)="Yes"))</f>
        <v>1</v>
      </c>
      <c r="HV3" s="13" t="b">
        <f>AND(NOT(ISNUMBER(MATCH(DATE($A$2,INT((COLUMN()-1)/31.001)+$A$1,ROUNDUP(MOD(COLUMN()-1,31.001),0)),HolidayList[Date],0))),(VLOOKUP(VLOOKUP(WEEKDAY(DATE($A$2,INT((COLUMN()-1)/31.001)+$A$1,ROUNDUP(MOD(COLUMN()-1,31.001),0)),2),Sheet3!$D$1:$E$7,2,0),$NW$21:$NX$35,2,0)="Yes"))</f>
        <v>1</v>
      </c>
      <c r="HW3" s="13" t="b">
        <f>AND(NOT(ISNUMBER(MATCH(DATE($A$2,INT((COLUMN()-1)/31.001)+$A$1,ROUNDUP(MOD(COLUMN()-1,31.001),0)),HolidayList[Date],0))),(VLOOKUP(VLOOKUP(WEEKDAY(DATE($A$2,INT((COLUMN()-1)/31.001)+$A$1,ROUNDUP(MOD(COLUMN()-1,31.001),0)),2),Sheet3!$D$1:$E$7,2,0),$NW$21:$NX$35,2,0)="Yes"))</f>
        <v>1</v>
      </c>
      <c r="HX3" s="13" t="b">
        <f>AND(NOT(ISNUMBER(MATCH(DATE($A$2,INT((COLUMN()-1)/31.001)+$A$1,ROUNDUP(MOD(COLUMN()-1,31.001),0)),HolidayList[Date],0))),(VLOOKUP(VLOOKUP(WEEKDAY(DATE($A$2,INT((COLUMN()-1)/31.001)+$A$1,ROUNDUP(MOD(COLUMN()-1,31.001),0)),2),Sheet3!$D$1:$E$7,2,0),$NW$21:$NX$35,2,0)="Yes"))</f>
        <v>1</v>
      </c>
      <c r="HY3" s="13" t="b">
        <f>AND(NOT(ISNUMBER(MATCH(DATE($A$2,INT((COLUMN()-1)/31.001)+$A$1,ROUNDUP(MOD(COLUMN()-1,31.001),0)),HolidayList[Date],0))),(VLOOKUP(VLOOKUP(WEEKDAY(DATE($A$2,INT((COLUMN()-1)/31.001)+$A$1,ROUNDUP(MOD(COLUMN()-1,31.001),0)),2),Sheet3!$D$1:$E$7,2,0),$NW$21:$NX$35,2,0)="Yes"))</f>
        <v>1</v>
      </c>
      <c r="HZ3" s="13" t="b">
        <f>AND(NOT(ISNUMBER(MATCH(DATE($A$2,INT((COLUMN()-1)/31.001)+$A$1,ROUNDUP(MOD(COLUMN()-1,31.001),0)),HolidayList[Date],0))),(VLOOKUP(VLOOKUP(WEEKDAY(DATE($A$2,INT((COLUMN()-1)/31.001)+$A$1,ROUNDUP(MOD(COLUMN()-1,31.001),0)),2),Sheet3!$D$1:$E$7,2,0),$NW$21:$NX$35,2,0)="Yes"))</f>
        <v>0</v>
      </c>
      <c r="IA3" s="13" t="b">
        <f>AND(NOT(ISNUMBER(MATCH(DATE($A$2,INT((COLUMN()-1)/31.001)+$A$1,ROUNDUP(MOD(COLUMN()-1,31.001),0)),HolidayList[Date],0))),(VLOOKUP(VLOOKUP(WEEKDAY(DATE($A$2,INT((COLUMN()-1)/31.001)+$A$1,ROUNDUP(MOD(COLUMN()-1,31.001),0)),2),Sheet3!$D$1:$E$7,2,0),$NW$21:$NX$35,2,0)="Yes"))</f>
        <v>0</v>
      </c>
      <c r="IB3" s="13" t="b">
        <f>AND(NOT(ISNUMBER(MATCH(DATE($A$2,INT((COLUMN()-1)/31.001)+$A$1,ROUNDUP(MOD(COLUMN()-1,31.001),0)),HolidayList[Date],0))),(VLOOKUP(VLOOKUP(WEEKDAY(DATE($A$2,INT((COLUMN()-1)/31.001)+$A$1,ROUNDUP(MOD(COLUMN()-1,31.001),0)),2),Sheet3!$D$1:$E$7,2,0),$NW$21:$NX$35,2,0)="Yes"))</f>
        <v>1</v>
      </c>
      <c r="IC3" s="13" t="b">
        <f>AND(NOT(ISNUMBER(MATCH(DATE($A$2,INT((COLUMN()-1)/31.001)+$A$1,ROUNDUP(MOD(COLUMN()-1,31.001),0)),HolidayList[Date],0))),(VLOOKUP(VLOOKUP(WEEKDAY(DATE($A$2,INT((COLUMN()-1)/31.001)+$A$1,ROUNDUP(MOD(COLUMN()-1,31.001),0)),2),Sheet3!$D$1:$E$7,2,0),$NW$21:$NX$35,2,0)="Yes"))</f>
        <v>1</v>
      </c>
      <c r="ID3" s="13" t="b">
        <f>AND(NOT(ISNUMBER(MATCH(DATE($A$2,INT((COLUMN()-1)/31.001)+$A$1,ROUNDUP(MOD(COLUMN()-1,31.001),0)),HolidayList[Date],0))),(VLOOKUP(VLOOKUP(WEEKDAY(DATE($A$2,INT((COLUMN()-1)/31.001)+$A$1,ROUNDUP(MOD(COLUMN()-1,31.001),0)),2),Sheet3!$D$1:$E$7,2,0),$NW$21:$NX$35,2,0)="Yes"))</f>
        <v>1</v>
      </c>
      <c r="IE3" s="13" t="b">
        <f>AND(NOT(ISNUMBER(MATCH(DATE($A$2,INT((COLUMN()-1)/31.001)+$A$1,ROUNDUP(MOD(COLUMN()-1,31.001),0)),HolidayList[Date],0))),(VLOOKUP(VLOOKUP(WEEKDAY(DATE($A$2,INT((COLUMN()-1)/31.001)+$A$1,ROUNDUP(MOD(COLUMN()-1,31.001),0)),2),Sheet3!$D$1:$E$7,2,0),$NW$21:$NX$35,2,0)="Yes"))</f>
        <v>1</v>
      </c>
      <c r="IF3" s="13" t="b">
        <f>AND(NOT(ISNUMBER(MATCH(DATE($A$2,INT((COLUMN()-1)/31.001)+$A$1,ROUNDUP(MOD(COLUMN()-1,31.001),0)),HolidayList[Date],0))),(VLOOKUP(VLOOKUP(WEEKDAY(DATE($A$2,INT((COLUMN()-1)/31.001)+$A$1,ROUNDUP(MOD(COLUMN()-1,31.001),0)),2),Sheet3!$D$1:$E$7,2,0),$NW$21:$NX$35,2,0)="Yes"))</f>
        <v>1</v>
      </c>
      <c r="IG3" s="13" t="b">
        <f>AND(NOT(ISNUMBER(MATCH(DATE($A$2,INT((COLUMN()-1)/31.001)+$A$1,ROUNDUP(MOD(COLUMN()-1,31.001),0)),HolidayList[Date],0))),(VLOOKUP(VLOOKUP(WEEKDAY(DATE($A$2,INT((COLUMN()-1)/31.001)+$A$1,ROUNDUP(MOD(COLUMN()-1,31.001),0)),2),Sheet3!$D$1:$E$7,2,0),$NW$21:$NX$35,2,0)="Yes"))</f>
        <v>0</v>
      </c>
      <c r="IH3" s="13" t="b">
        <f>AND(NOT(ISNUMBER(MATCH(DATE($A$2,INT((COLUMN()-1)/31.001)+$A$1,ROUNDUP(MOD(COLUMN()-1,31.001),0)),HolidayList[Date],0))),(VLOOKUP(VLOOKUP(WEEKDAY(DATE($A$2,INT((COLUMN()-1)/31.001)+$A$1,ROUNDUP(MOD(COLUMN()-1,31.001),0)),2),Sheet3!$D$1:$E$7,2,0),$NW$21:$NX$35,2,0)="Yes"))</f>
        <v>0</v>
      </c>
      <c r="II3" s="13" t="b">
        <f>AND(NOT(ISNUMBER(MATCH(DATE($A$2,INT((COLUMN()-1)/31.001)+$A$1,ROUNDUP(MOD(COLUMN()-1,31.001),0)),HolidayList[Date],0))),(VLOOKUP(VLOOKUP(WEEKDAY(DATE($A$2,INT((COLUMN()-1)/31.001)+$A$1,ROUNDUP(MOD(COLUMN()-1,31.001),0)),2),Sheet3!$D$1:$E$7,2,0),$NW$21:$NX$35,2,0)="Yes"))</f>
        <v>1</v>
      </c>
      <c r="IJ3" s="13" t="b">
        <f>AND(NOT(ISNUMBER(MATCH(DATE($A$2,INT((COLUMN()-1)/31.001)+$A$1,ROUNDUP(MOD(COLUMN()-1,31.001),0)),HolidayList[Date],0))),(VLOOKUP(VLOOKUP(WEEKDAY(DATE($A$2,INT((COLUMN()-1)/31.001)+$A$1,ROUNDUP(MOD(COLUMN()-1,31.001),0)),2),Sheet3!$D$1:$E$7,2,0),$NW$21:$NX$35,2,0)="Yes"))</f>
        <v>1</v>
      </c>
      <c r="IK3" s="13" t="b">
        <f>AND(NOT(ISNUMBER(MATCH(DATE($A$2,INT((COLUMN()-1)/31.001)+$A$1,ROUNDUP(MOD(COLUMN()-1,31.001),0)),HolidayList[Date],0))),(VLOOKUP(VLOOKUP(WEEKDAY(DATE($A$2,INT((COLUMN()-1)/31.001)+$A$1,ROUNDUP(MOD(COLUMN()-1,31.001),0)),2),Sheet3!$D$1:$E$7,2,0),$NW$21:$NX$35,2,0)="Yes"))</f>
        <v>1</v>
      </c>
      <c r="IL3" s="13" t="b">
        <f>AND(NOT(ISNUMBER(MATCH(DATE($A$2,INT((COLUMN()-1)/31.001)+$A$1,ROUNDUP(MOD(COLUMN()-1,31.001),0)),HolidayList[Date],0))),(VLOOKUP(VLOOKUP(WEEKDAY(DATE($A$2,INT((COLUMN()-1)/31.001)+$A$1,ROUNDUP(MOD(COLUMN()-1,31.001),0)),2),Sheet3!$D$1:$E$7,2,0),$NW$21:$NX$35,2,0)="Yes"))</f>
        <v>1</v>
      </c>
      <c r="IM3" s="13" t="b">
        <f>AND(NOT(ISNUMBER(MATCH(DATE($A$2,INT((COLUMN()-1)/31.001)+$A$1,ROUNDUP(MOD(COLUMN()-1,31.001),0)),HolidayList[Date],0))),(VLOOKUP(VLOOKUP(WEEKDAY(DATE($A$2,INT((COLUMN()-1)/31.001)+$A$1,ROUNDUP(MOD(COLUMN()-1,31.001),0)),2),Sheet3!$D$1:$E$7,2,0),$NW$21:$NX$35,2,0)="Yes"))</f>
        <v>1</v>
      </c>
      <c r="IN3" s="13" t="b">
        <f>AND(NOT(ISNUMBER(MATCH(DATE($A$2,INT((COLUMN()-1)/31.001)+$A$1,ROUNDUP(MOD(COLUMN()-1,31.001),0)),HolidayList[Date],0))),(VLOOKUP(VLOOKUP(WEEKDAY(DATE($A$2,INT((COLUMN()-1)/31.001)+$A$1,ROUNDUP(MOD(COLUMN()-1,31.001),0)),2),Sheet3!$D$1:$E$7,2,0),$NW$21:$NX$35,2,0)="Yes"))</f>
        <v>0</v>
      </c>
      <c r="IO3" s="13" t="b">
        <f>AND(NOT(ISNUMBER(MATCH(DATE($A$2,INT((COLUMN()-1)/31.001)+$A$1,ROUNDUP(MOD(COLUMN()-1,31.001),0)),HolidayList[Date],0))),(VLOOKUP(VLOOKUP(WEEKDAY(DATE($A$2,INT((COLUMN()-1)/31.001)+$A$1,ROUNDUP(MOD(COLUMN()-1,31.001),0)),2),Sheet3!$D$1:$E$7,2,0),$NW$21:$NX$35,2,0)="Yes"))</f>
        <v>0</v>
      </c>
      <c r="IP3" s="13" t="b">
        <f>AND(NOT(ISNUMBER(MATCH(DATE($A$2,INT((COLUMN()-1)/31.001)+$A$1,ROUNDUP(MOD(COLUMN()-1,31.001),0)),HolidayList[Date],0))),(VLOOKUP(VLOOKUP(WEEKDAY(DATE($A$2,INT((COLUMN()-1)/31.001)+$A$1,ROUNDUP(MOD(COLUMN()-1,31.001),0)),2),Sheet3!$D$1:$E$7,2,0),$NW$21:$NX$35,2,0)="Yes"))</f>
        <v>1</v>
      </c>
      <c r="IQ3" s="13" t="b">
        <f>AND(NOT(ISNUMBER(MATCH(DATE($A$2,INT((COLUMN()-1)/31.001)+$A$1,ROUNDUP(MOD(COLUMN()-1,31.001),0)),HolidayList[Date],0))),(VLOOKUP(VLOOKUP(WEEKDAY(DATE($A$2,INT((COLUMN()-1)/31.001)+$A$1,ROUNDUP(MOD(COLUMN()-1,31.001),0)),2),Sheet3!$D$1:$E$7,2,0),$NW$21:$NX$35,2,0)="Yes"))</f>
        <v>1</v>
      </c>
      <c r="IR3" s="13" t="b">
        <f>AND(NOT(ISNUMBER(MATCH(DATE($A$2,INT((COLUMN()-1)/31.001)+$A$1,ROUNDUP(MOD(COLUMN()-1,31.001),0)),HolidayList[Date],0))),(VLOOKUP(VLOOKUP(WEEKDAY(DATE($A$2,INT((COLUMN()-1)/31.001)+$A$1,ROUNDUP(MOD(COLUMN()-1,31.001),0)),2),Sheet3!$D$1:$E$7,2,0),$NW$21:$NX$35,2,0)="Yes"))</f>
        <v>1</v>
      </c>
      <c r="IS3" s="13" t="b">
        <f>AND(NOT(ISNUMBER(MATCH(DATE($A$2,INT((COLUMN()-1)/31.001)+$A$1,ROUNDUP(MOD(COLUMN()-1,31.001),0)),HolidayList[Date],0))),(VLOOKUP(VLOOKUP(WEEKDAY(DATE($A$2,INT((COLUMN()-1)/31.001)+$A$1,ROUNDUP(MOD(COLUMN()-1,31.001),0)),2),Sheet3!$D$1:$E$7,2,0),$NW$21:$NX$35,2,0)="Yes"))</f>
        <v>1</v>
      </c>
      <c r="IT3" s="13" t="b">
        <f>AND(NOT(ISNUMBER(MATCH(DATE($A$2,INT((COLUMN()-1)/31.001)+$A$1,ROUNDUP(MOD(COLUMN()-1,31.001),0)),HolidayList[Date],0))),(VLOOKUP(VLOOKUP(WEEKDAY(DATE($A$2,INT((COLUMN()-1)/31.001)+$A$1,ROUNDUP(MOD(COLUMN()-1,31.001),0)),2),Sheet3!$D$1:$E$7,2,0),$NW$21:$NX$35,2,0)="Yes"))</f>
        <v>1</v>
      </c>
      <c r="IU3" s="13" t="b">
        <f>AND(NOT(ISNUMBER(MATCH(DATE($A$2,INT((COLUMN()-1)/31.001)+$A$1,ROUNDUP(MOD(COLUMN()-1,31.001),0)),HolidayList[Date],0))),(VLOOKUP(VLOOKUP(WEEKDAY(DATE($A$2,INT((COLUMN()-1)/31.001)+$A$1,ROUNDUP(MOD(COLUMN()-1,31.001),0)),2),Sheet3!$D$1:$E$7,2,0),$NW$21:$NX$35,2,0)="Yes"))</f>
        <v>0</v>
      </c>
      <c r="IV3" s="13" t="b">
        <f>AND(NOT(ISNUMBER(MATCH(DATE($A$2,INT((COLUMN()-1)/31.001)+$A$1,ROUNDUP(MOD(COLUMN()-1,31.001),0)),HolidayList[Date],0))),(VLOOKUP(VLOOKUP(WEEKDAY(DATE($A$2,INT((COLUMN()-1)/31.001)+$A$1,ROUNDUP(MOD(COLUMN()-1,31.001),0)),2),Sheet3!$D$1:$E$7,2,0),$NW$21:$NX$35,2,0)="Yes"))</f>
        <v>0</v>
      </c>
      <c r="IW3" s="13" t="b">
        <f>AND(NOT(ISNUMBER(MATCH(DATE($A$2,INT((COLUMN()-1)/31.001)+$A$1,ROUNDUP(MOD(COLUMN()-1,31.001),0)),HolidayList[Date],0))),(VLOOKUP(VLOOKUP(WEEKDAY(DATE($A$2,INT((COLUMN()-1)/31.001)+$A$1,ROUNDUP(MOD(COLUMN()-1,31.001),0)),2),Sheet3!$D$1:$E$7,2,0),$NW$21:$NX$35,2,0)="Yes"))</f>
        <v>1</v>
      </c>
      <c r="IX3" s="13" t="b">
        <f>AND(NOT(ISNUMBER(MATCH(DATE($A$2,INT((COLUMN()-1)/31.001)+$A$1,ROUNDUP(MOD(COLUMN()-1,31.001),0)),HolidayList[Date],0))),(VLOOKUP(VLOOKUP(WEEKDAY(DATE($A$2,INT((COLUMN()-1)/31.001)+$A$1,ROUNDUP(MOD(COLUMN()-1,31.001),0)),2),Sheet3!$D$1:$E$7,2,0),$NW$21:$NX$35,2,0)="Yes"))</f>
        <v>1</v>
      </c>
      <c r="IY3" s="13" t="b">
        <f>AND(NOT(ISNUMBER(MATCH(DATE($A$2,INT((COLUMN()-1)/31.001)+$A$1,ROUNDUP(MOD(COLUMN()-1,31.001),0)),HolidayList[Date],0))),(VLOOKUP(VLOOKUP(WEEKDAY(DATE($A$2,INT((COLUMN()-1)/31.001)+$A$1,ROUNDUP(MOD(COLUMN()-1,31.001),0)),2),Sheet3!$D$1:$E$7,2,0),$NW$21:$NX$35,2,0)="Yes"))</f>
        <v>1</v>
      </c>
      <c r="IZ3" s="13" t="b">
        <f>AND(NOT(ISNUMBER(MATCH(DATE($A$2,INT((COLUMN()-1)/31.001)+$A$1,ROUNDUP(MOD(COLUMN()-1,31.001),0)),HolidayList[Date],0))),(VLOOKUP(VLOOKUP(WEEKDAY(DATE($A$2,INT((COLUMN()-1)/31.001)+$A$1,ROUNDUP(MOD(COLUMN()-1,31.001),0)),2),Sheet3!$D$1:$E$7,2,0),$NW$21:$NX$35,2,0)="Yes"))</f>
        <v>1</v>
      </c>
      <c r="JA3" s="13" t="b">
        <f>AND(NOT(ISNUMBER(MATCH(DATE($A$2,INT((COLUMN()-1)/31.001)+$A$1,ROUNDUP(MOD(COLUMN()-1,31.001),0)),HolidayList[Date],0))),(VLOOKUP(VLOOKUP(WEEKDAY(DATE($A$2,INT((COLUMN()-1)/31.001)+$A$1,ROUNDUP(MOD(COLUMN()-1,31.001),0)),2),Sheet3!$D$1:$E$7,2,0),$NW$21:$NX$35,2,0)="Yes"))</f>
        <v>1</v>
      </c>
      <c r="JB3" s="13" t="b">
        <f>AND(NOT(ISNUMBER(MATCH(DATE($A$2,INT((COLUMN()-1)/31.001)+$A$1,ROUNDUP(MOD(COLUMN()-1,31.001),0)),HolidayList[Date],0))),(VLOOKUP(VLOOKUP(WEEKDAY(DATE($A$2,INT((COLUMN()-1)/31.001)+$A$1,ROUNDUP(MOD(COLUMN()-1,31.001),0)),2),Sheet3!$D$1:$E$7,2,0),$NW$21:$NX$35,2,0)="Yes"))</f>
        <v>0</v>
      </c>
      <c r="JC3" s="13" t="b">
        <f>AND(NOT(ISNUMBER(MATCH(DATE($A$2,INT((COLUMN()-1)/31.001)+$A$1,ROUNDUP(MOD(COLUMN()-1,31.001),0)),HolidayList[Date],0))),(VLOOKUP(VLOOKUP(WEEKDAY(DATE($A$2,INT((COLUMN()-1)/31.001)+$A$1,ROUNDUP(MOD(COLUMN()-1,31.001),0)),2),Sheet3!$D$1:$E$7,2,0),$NW$21:$NX$35,2,0)="Yes"))</f>
        <v>0</v>
      </c>
      <c r="JD3" s="13" t="b">
        <f>AND(NOT(ISNUMBER(MATCH(DATE($A$2,INT((COLUMN()-1)/31.001)+$A$1,ROUNDUP(MOD(COLUMN()-1,31.001),0)),HolidayList[Date],0))),(VLOOKUP(VLOOKUP(WEEKDAY(DATE($A$2,INT((COLUMN()-1)/31.001)+$A$1,ROUNDUP(MOD(COLUMN()-1,31.001),0)),2),Sheet3!$D$1:$E$7,2,0),$NW$21:$NX$35,2,0)="Yes"))</f>
        <v>1</v>
      </c>
      <c r="JE3" s="13" t="b">
        <f>AND(NOT(ISNUMBER(MATCH(DATE($A$2,INT((COLUMN()-1)/31.001)+$A$1,ROUNDUP(MOD(COLUMN()-1,31.001),0)),HolidayList[Date],0))),(VLOOKUP(VLOOKUP(WEEKDAY(DATE($A$2,INT((COLUMN()-1)/31.001)+$A$1,ROUNDUP(MOD(COLUMN()-1,31.001),0)),2),Sheet3!$D$1:$E$7,2,0),$NW$21:$NX$35,2,0)="Yes"))</f>
        <v>1</v>
      </c>
      <c r="JF3" s="13" t="b">
        <f>AND(NOT(ISNUMBER(MATCH(DATE($A$2,INT((COLUMN()-1)/31.001)+$A$1,ROUNDUP(MOD(COLUMN()-1,31.001),0)),HolidayList[Date],0))),(VLOOKUP(VLOOKUP(WEEKDAY(DATE($A$2,INT((COLUMN()-1)/31.001)+$A$1,ROUNDUP(MOD(COLUMN()-1,31.001),0)),2),Sheet3!$D$1:$E$7,2,0),$NW$21:$NX$35,2,0)="Yes"))</f>
        <v>1</v>
      </c>
      <c r="JG3" s="13" t="b">
        <f>AND(NOT(ISNUMBER(MATCH(DATE($A$2,INT((COLUMN()-1)/31.001)+$A$1,ROUNDUP(MOD(COLUMN()-1,31.001),0)),HolidayList[Date],0))),(VLOOKUP(VLOOKUP(WEEKDAY(DATE($A$2,INT((COLUMN()-1)/31.001)+$A$1,ROUNDUP(MOD(COLUMN()-1,31.001),0)),2),Sheet3!$D$1:$E$7,2,0),$NW$21:$NX$35,2,0)="Yes"))</f>
        <v>1</v>
      </c>
      <c r="JH3" s="13" t="b">
        <f>AND(NOT(ISNUMBER(MATCH(DATE($A$2,INT((COLUMN()-1)/31.001)+$A$1,ROUNDUP(MOD(COLUMN()-1,31.001),0)),HolidayList[Date],0))),(VLOOKUP(VLOOKUP(WEEKDAY(DATE($A$2,INT((COLUMN()-1)/31.001)+$A$1,ROUNDUP(MOD(COLUMN()-1,31.001),0)),2),Sheet3!$D$1:$E$7,2,0),$NW$21:$NX$35,2,0)="Yes"))</f>
        <v>1</v>
      </c>
      <c r="JI3" s="13" t="b">
        <f>AND(NOT(ISNUMBER(MATCH(DATE($A$2,INT((COLUMN()-1)/31.001)+$A$1,ROUNDUP(MOD(COLUMN()-1,31.001),0)),HolidayList[Date],0))),(VLOOKUP(VLOOKUP(WEEKDAY(DATE($A$2,INT((COLUMN()-1)/31.001)+$A$1,ROUNDUP(MOD(COLUMN()-1,31.001),0)),2),Sheet3!$D$1:$E$7,2,0),$NW$21:$NX$35,2,0)="Yes"))</f>
        <v>0</v>
      </c>
      <c r="JJ3" s="13" t="b">
        <f>AND(NOT(ISNUMBER(MATCH(DATE($A$2,INT((COLUMN()-1)/31.001)+$A$1,ROUNDUP(MOD(COLUMN()-1,31.001),0)),HolidayList[Date],0))),(VLOOKUP(VLOOKUP(WEEKDAY(DATE($A$2,INT((COLUMN()-1)/31.001)+$A$1,ROUNDUP(MOD(COLUMN()-1,31.001),0)),2),Sheet3!$D$1:$E$7,2,0),$NW$21:$NX$35,2,0)="Yes"))</f>
        <v>0</v>
      </c>
      <c r="JK3" s="13" t="b">
        <f>AND(NOT(ISNUMBER(MATCH(DATE($A$2,INT((COLUMN()-1)/31.001)+$A$1,ROUNDUP(MOD(COLUMN()-1,31.001),0)),HolidayList[Date],0))),(VLOOKUP(VLOOKUP(WEEKDAY(DATE($A$2,INT((COLUMN()-1)/31.001)+$A$1,ROUNDUP(MOD(COLUMN()-1,31.001),0)),2),Sheet3!$D$1:$E$7,2,0),$NW$21:$NX$35,2,0)="Yes"))</f>
        <v>1</v>
      </c>
      <c r="JL3" s="13" t="b">
        <f>AND(NOT(ISNUMBER(MATCH(DATE($A$2,INT((COLUMN()-1)/31.001)+$A$1,ROUNDUP(MOD(COLUMN()-1,31.001),0)),HolidayList[Date],0))),(VLOOKUP(VLOOKUP(WEEKDAY(DATE($A$2,INT((COLUMN()-1)/31.001)+$A$1,ROUNDUP(MOD(COLUMN()-1,31.001),0)),2),Sheet3!$D$1:$E$7,2,0),$NW$21:$NX$35,2,0)="Yes"))</f>
        <v>1</v>
      </c>
      <c r="JM3" s="13" t="b">
        <f>AND(NOT(ISNUMBER(MATCH(DATE($A$2,INT((COLUMN()-1)/31.001)+$A$1,ROUNDUP(MOD(COLUMN()-1,31.001),0)),HolidayList[Date],0))),(VLOOKUP(VLOOKUP(WEEKDAY(DATE($A$2,INT((COLUMN()-1)/31.001)+$A$1,ROUNDUP(MOD(COLUMN()-1,31.001),0)),2),Sheet3!$D$1:$E$7,2,0),$NW$21:$NX$35,2,0)="Yes"))</f>
        <v>1</v>
      </c>
      <c r="JN3" s="13" t="b">
        <f>AND(NOT(ISNUMBER(MATCH(DATE($A$2,INT((COLUMN()-1)/31.001)+$A$1,ROUNDUP(MOD(COLUMN()-1,31.001),0)),HolidayList[Date],0))),(VLOOKUP(VLOOKUP(WEEKDAY(DATE($A$2,INT((COLUMN()-1)/31.001)+$A$1,ROUNDUP(MOD(COLUMN()-1,31.001),0)),2),Sheet3!$D$1:$E$7,2,0),$NW$21:$NX$35,2,0)="Yes"))</f>
        <v>1</v>
      </c>
      <c r="JO3" s="13" t="b">
        <f>AND(NOT(ISNUMBER(MATCH(DATE($A$2,INT((COLUMN()-1)/31.001)+$A$1,ROUNDUP(MOD(COLUMN()-1,31.001),0)),HolidayList[Date],0))),(VLOOKUP(VLOOKUP(WEEKDAY(DATE($A$2,INT((COLUMN()-1)/31.001)+$A$1,ROUNDUP(MOD(COLUMN()-1,31.001),0)),2),Sheet3!$D$1:$E$7,2,0),$NW$21:$NX$35,2,0)="Yes"))</f>
        <v>1</v>
      </c>
      <c r="JP3" s="13" t="b">
        <f>AND(NOT(ISNUMBER(MATCH(DATE($A$2,INT((COLUMN()-1)/31.001)+$A$1,ROUNDUP(MOD(COLUMN()-1,31.001),0)),HolidayList[Date],0))),(VLOOKUP(VLOOKUP(WEEKDAY(DATE($A$2,INT((COLUMN()-1)/31.001)+$A$1,ROUNDUP(MOD(COLUMN()-1,31.001),0)),2),Sheet3!$D$1:$E$7,2,0),$NW$21:$NX$35,2,0)="Yes"))</f>
        <v>0</v>
      </c>
      <c r="JQ3" s="13" t="b">
        <f>AND(NOT(ISNUMBER(MATCH(DATE($A$2,INT((COLUMN()-1)/31.001)+$A$1,ROUNDUP(MOD(COLUMN()-1,31.001),0)),HolidayList[Date],0))),(VLOOKUP(VLOOKUP(WEEKDAY(DATE($A$2,INT((COLUMN()-1)/31.001)+$A$1,ROUNDUP(MOD(COLUMN()-1,31.001),0)),2),Sheet3!$D$1:$E$7,2,0),$NW$21:$NX$35,2,0)="Yes"))</f>
        <v>0</v>
      </c>
      <c r="JR3" s="13" t="b">
        <f>AND(NOT(ISNUMBER(MATCH(DATE($A$2,INT((COLUMN()-1)/31.001)+$A$1,ROUNDUP(MOD(COLUMN()-1,31.001),0)),HolidayList[Date],0))),(VLOOKUP(VLOOKUP(WEEKDAY(DATE($A$2,INT((COLUMN()-1)/31.001)+$A$1,ROUNDUP(MOD(COLUMN()-1,31.001),0)),2),Sheet3!$D$1:$E$7,2,0),$NW$21:$NX$35,2,0)="Yes"))</f>
        <v>1</v>
      </c>
      <c r="JS3" s="13" t="b">
        <f>AND(NOT(ISNUMBER(MATCH(DATE($A$2,INT((COLUMN()-1)/31.001)+$A$1,ROUNDUP(MOD(COLUMN()-1,31.001),0)),HolidayList[Date],0))),(VLOOKUP(VLOOKUP(WEEKDAY(DATE($A$2,INT((COLUMN()-1)/31.001)+$A$1,ROUNDUP(MOD(COLUMN()-1,31.001),0)),2),Sheet3!$D$1:$E$7,2,0),$NW$21:$NX$35,2,0)="Yes"))</f>
        <v>1</v>
      </c>
      <c r="JT3" s="13" t="b">
        <f>AND(NOT(ISNUMBER(MATCH(DATE($A$2,INT((COLUMN()-1)/31.001)+$A$1,ROUNDUP(MOD(COLUMN()-1,31.001),0)),HolidayList[Date],0))),(VLOOKUP(VLOOKUP(WEEKDAY(DATE($A$2,INT((COLUMN()-1)/31.001)+$A$1,ROUNDUP(MOD(COLUMN()-1,31.001),0)),2),Sheet3!$D$1:$E$7,2,0),$NW$21:$NX$35,2,0)="Yes"))</f>
        <v>1</v>
      </c>
      <c r="JU3" s="13" t="b">
        <f>AND(NOT(ISNUMBER(MATCH(DATE($A$2,INT((COLUMN()-1)/31.001)+$A$1,ROUNDUP(MOD(COLUMN()-1,31.001),0)),HolidayList[Date],0))),(VLOOKUP(VLOOKUP(WEEKDAY(DATE($A$2,INT((COLUMN()-1)/31.001)+$A$1,ROUNDUP(MOD(COLUMN()-1,31.001),0)),2),Sheet3!$D$1:$E$7,2,0),$NW$21:$NX$35,2,0)="Yes"))</f>
        <v>1</v>
      </c>
      <c r="JV3" s="13" t="b">
        <f>AND(NOT(ISNUMBER(MATCH(DATE($A$2,INT((COLUMN()-1)/31.001)+$A$1,ROUNDUP(MOD(COLUMN()-1,31.001),0)),HolidayList[Date],0))),(VLOOKUP(VLOOKUP(WEEKDAY(DATE($A$2,INT((COLUMN()-1)/31.001)+$A$1,ROUNDUP(MOD(COLUMN()-1,31.001),0)),2),Sheet3!$D$1:$E$7,2,0),$NW$21:$NX$35,2,0)="Yes"))</f>
        <v>1</v>
      </c>
      <c r="JW3" s="13" t="b">
        <f>AND(NOT(ISNUMBER(MATCH(DATE($A$2,INT((COLUMN()-1)/31.001)+$A$1,ROUNDUP(MOD(COLUMN()-1,31.001),0)),HolidayList[Date],0))),(VLOOKUP(VLOOKUP(WEEKDAY(DATE($A$2,INT((COLUMN()-1)/31.001)+$A$1,ROUNDUP(MOD(COLUMN()-1,31.001),0)),2),Sheet3!$D$1:$E$7,2,0),$NW$21:$NX$35,2,0)="Yes"))</f>
        <v>1</v>
      </c>
      <c r="JX3" s="13" t="b">
        <f>AND(NOT(ISNUMBER(MATCH(DATE($A$2,INT((COLUMN()-1)/31.001)+$A$1,ROUNDUP(MOD(COLUMN()-1,31.001),0)),HolidayList[Date],0))),(VLOOKUP(VLOOKUP(WEEKDAY(DATE($A$2,INT((COLUMN()-1)/31.001)+$A$1,ROUNDUP(MOD(COLUMN()-1,31.001),0)),2),Sheet3!$D$1:$E$7,2,0),$NW$21:$NX$35,2,0)="Yes"))</f>
        <v>0</v>
      </c>
      <c r="JY3" s="13" t="b">
        <f>AND(NOT(ISNUMBER(MATCH(DATE($A$2,INT((COLUMN()-1)/31.001)+$A$1,ROUNDUP(MOD(COLUMN()-1,31.001),0)),HolidayList[Date],0))),(VLOOKUP(VLOOKUP(WEEKDAY(DATE($A$2,INT((COLUMN()-1)/31.001)+$A$1,ROUNDUP(MOD(COLUMN()-1,31.001),0)),2),Sheet3!$D$1:$E$7,2,0),$NW$21:$NX$35,2,0)="Yes"))</f>
        <v>0</v>
      </c>
      <c r="JZ3" s="13" t="b">
        <f>AND(NOT(ISNUMBER(MATCH(DATE($A$2,INT((COLUMN()-1)/31.001)+$A$1,ROUNDUP(MOD(COLUMN()-1,31.001),0)),HolidayList[Date],0))),(VLOOKUP(VLOOKUP(WEEKDAY(DATE($A$2,INT((COLUMN()-1)/31.001)+$A$1,ROUNDUP(MOD(COLUMN()-1,31.001),0)),2),Sheet3!$D$1:$E$7,2,0),$NW$21:$NX$35,2,0)="Yes"))</f>
        <v>1</v>
      </c>
      <c r="KA3" s="13" t="b">
        <f>AND(NOT(ISNUMBER(MATCH(DATE($A$2,INT((COLUMN()-1)/31.001)+$A$1,ROUNDUP(MOD(COLUMN()-1,31.001),0)),HolidayList[Date],0))),(VLOOKUP(VLOOKUP(WEEKDAY(DATE($A$2,INT((COLUMN()-1)/31.001)+$A$1,ROUNDUP(MOD(COLUMN()-1,31.001),0)),2),Sheet3!$D$1:$E$7,2,0),$NW$21:$NX$35,2,0)="Yes"))</f>
        <v>1</v>
      </c>
      <c r="KB3" s="13" t="b">
        <f>AND(NOT(ISNUMBER(MATCH(DATE($A$2,INT((COLUMN()-1)/31.001)+$A$1,ROUNDUP(MOD(COLUMN()-1,31.001),0)),HolidayList[Date],0))),(VLOOKUP(VLOOKUP(WEEKDAY(DATE($A$2,INT((COLUMN()-1)/31.001)+$A$1,ROUNDUP(MOD(COLUMN()-1,31.001),0)),2),Sheet3!$D$1:$E$7,2,0),$NW$21:$NX$35,2,0)="Yes"))</f>
        <v>1</v>
      </c>
      <c r="KC3" s="13" t="b">
        <f>AND(NOT(ISNUMBER(MATCH(DATE($A$2,INT((COLUMN()-1)/31.001)+$A$1,ROUNDUP(MOD(COLUMN()-1,31.001),0)),HolidayList[Date],0))),(VLOOKUP(VLOOKUP(WEEKDAY(DATE($A$2,INT((COLUMN()-1)/31.001)+$A$1,ROUNDUP(MOD(COLUMN()-1,31.001),0)),2),Sheet3!$D$1:$E$7,2,0),$NW$21:$NX$35,2,0)="Yes"))</f>
        <v>1</v>
      </c>
      <c r="KD3" s="13" t="b">
        <f>AND(NOT(ISNUMBER(MATCH(DATE($A$2,INT((COLUMN()-1)/31.001)+$A$1,ROUNDUP(MOD(COLUMN()-1,31.001),0)),HolidayList[Date],0))),(VLOOKUP(VLOOKUP(WEEKDAY(DATE($A$2,INT((COLUMN()-1)/31.001)+$A$1,ROUNDUP(MOD(COLUMN()-1,31.001),0)),2),Sheet3!$D$1:$E$7,2,0),$NW$21:$NX$35,2,0)="Yes"))</f>
        <v>1</v>
      </c>
      <c r="KE3" s="13" t="b">
        <f>AND(NOT(ISNUMBER(MATCH(DATE($A$2,INT((COLUMN()-1)/31.001)+$A$1,ROUNDUP(MOD(COLUMN()-1,31.001),0)),HolidayList[Date],0))),(VLOOKUP(VLOOKUP(WEEKDAY(DATE($A$2,INT((COLUMN()-1)/31.001)+$A$1,ROUNDUP(MOD(COLUMN()-1,31.001),0)),2),Sheet3!$D$1:$E$7,2,0),$NW$21:$NX$35,2,0)="Yes"))</f>
        <v>0</v>
      </c>
      <c r="KF3" s="13" t="b">
        <f>AND(NOT(ISNUMBER(MATCH(DATE($A$2,INT((COLUMN()-1)/31.001)+$A$1,ROUNDUP(MOD(COLUMN()-1,31.001),0)),HolidayList[Date],0))),(VLOOKUP(VLOOKUP(WEEKDAY(DATE($A$2,INT((COLUMN()-1)/31.001)+$A$1,ROUNDUP(MOD(COLUMN()-1,31.001),0)),2),Sheet3!$D$1:$E$7,2,0),$NW$21:$NX$35,2,0)="Yes"))</f>
        <v>0</v>
      </c>
      <c r="KG3" s="13" t="b">
        <f>AND(NOT(ISNUMBER(MATCH(DATE($A$2,INT((COLUMN()-1)/31.001)+$A$1,ROUNDUP(MOD(COLUMN()-1,31.001),0)),HolidayList[Date],0))),(VLOOKUP(VLOOKUP(WEEKDAY(DATE($A$2,INT((COLUMN()-1)/31.001)+$A$1,ROUNDUP(MOD(COLUMN()-1,31.001),0)),2),Sheet3!$D$1:$E$7,2,0),$NW$21:$NX$35,2,0)="Yes"))</f>
        <v>1</v>
      </c>
      <c r="KH3" s="13" t="b">
        <f>AND(NOT(ISNUMBER(MATCH(DATE($A$2,INT((COLUMN()-1)/31.001)+$A$1,ROUNDUP(MOD(COLUMN()-1,31.001),0)),HolidayList[Date],0))),(VLOOKUP(VLOOKUP(WEEKDAY(DATE($A$2,INT((COLUMN()-1)/31.001)+$A$1,ROUNDUP(MOD(COLUMN()-1,31.001),0)),2),Sheet3!$D$1:$E$7,2,0),$NW$21:$NX$35,2,0)="Yes"))</f>
        <v>1</v>
      </c>
      <c r="KI3" s="13" t="b">
        <f>AND(NOT(ISNUMBER(MATCH(DATE($A$2,INT((COLUMN()-1)/31.001)+$A$1,ROUNDUP(MOD(COLUMN()-1,31.001),0)),HolidayList[Date],0))),(VLOOKUP(VLOOKUP(WEEKDAY(DATE($A$2,INT((COLUMN()-1)/31.001)+$A$1,ROUNDUP(MOD(COLUMN()-1,31.001),0)),2),Sheet3!$D$1:$E$7,2,0),$NW$21:$NX$35,2,0)="Yes"))</f>
        <v>1</v>
      </c>
      <c r="KJ3" s="13" t="b">
        <f>AND(NOT(ISNUMBER(MATCH(DATE($A$2,INT((COLUMN()-1)/31.001)+$A$1,ROUNDUP(MOD(COLUMN()-1,31.001),0)),HolidayList[Date],0))),(VLOOKUP(VLOOKUP(WEEKDAY(DATE($A$2,INT((COLUMN()-1)/31.001)+$A$1,ROUNDUP(MOD(COLUMN()-1,31.001),0)),2),Sheet3!$D$1:$E$7,2,0),$NW$21:$NX$35,2,0)="Yes"))</f>
        <v>1</v>
      </c>
      <c r="KK3" s="13" t="b">
        <f>AND(NOT(ISNUMBER(MATCH(DATE($A$2,INT((COLUMN()-1)/31.001)+$A$1,ROUNDUP(MOD(COLUMN()-1,31.001),0)),HolidayList[Date],0))),(VLOOKUP(VLOOKUP(WEEKDAY(DATE($A$2,INT((COLUMN()-1)/31.001)+$A$1,ROUNDUP(MOD(COLUMN()-1,31.001),0)),2),Sheet3!$D$1:$E$7,2,0),$NW$21:$NX$35,2,0)="Yes"))</f>
        <v>1</v>
      </c>
      <c r="KL3" s="13" t="b">
        <f>AND(NOT(ISNUMBER(MATCH(DATE($A$2,INT((COLUMN()-1)/31.001)+$A$1,ROUNDUP(MOD(COLUMN()-1,31.001),0)),HolidayList[Date],0))),(VLOOKUP(VLOOKUP(WEEKDAY(DATE($A$2,INT((COLUMN()-1)/31.001)+$A$1,ROUNDUP(MOD(COLUMN()-1,31.001),0)),2),Sheet3!$D$1:$E$7,2,0),$NW$21:$NX$35,2,0)="Yes"))</f>
        <v>0</v>
      </c>
      <c r="KM3" s="13" t="b">
        <f>AND(NOT(ISNUMBER(MATCH(DATE($A$2,INT((COLUMN()-1)/31.001)+$A$1,ROUNDUP(MOD(COLUMN()-1,31.001),0)),HolidayList[Date],0))),(VLOOKUP(VLOOKUP(WEEKDAY(DATE($A$2,INT((COLUMN()-1)/31.001)+$A$1,ROUNDUP(MOD(COLUMN()-1,31.001),0)),2),Sheet3!$D$1:$E$7,2,0),$NW$21:$NX$35,2,0)="Yes"))</f>
        <v>0</v>
      </c>
      <c r="KN3" s="13" t="b">
        <f>AND(NOT(ISNUMBER(MATCH(DATE($A$2,INT((COLUMN()-1)/31.001)+$A$1,ROUNDUP(MOD(COLUMN()-1,31.001),0)),HolidayList[Date],0))),(VLOOKUP(VLOOKUP(WEEKDAY(DATE($A$2,INT((COLUMN()-1)/31.001)+$A$1,ROUNDUP(MOD(COLUMN()-1,31.001),0)),2),Sheet3!$D$1:$E$7,2,0),$NW$21:$NX$35,2,0)="Yes"))</f>
        <v>1</v>
      </c>
      <c r="KO3" s="13" t="b">
        <f>AND(NOT(ISNUMBER(MATCH(DATE($A$2,INT((COLUMN()-1)/31.001)+$A$1,ROUNDUP(MOD(COLUMN()-1,31.001),0)),HolidayList[Date],0))),(VLOOKUP(VLOOKUP(WEEKDAY(DATE($A$2,INT((COLUMN()-1)/31.001)+$A$1,ROUNDUP(MOD(COLUMN()-1,31.001),0)),2),Sheet3!$D$1:$E$7,2,0),$NW$21:$NX$35,2,0)="Yes"))</f>
        <v>1</v>
      </c>
      <c r="KP3" s="13" t="b">
        <f>AND(NOT(ISNUMBER(MATCH(DATE($A$2,INT((COLUMN()-1)/31.001)+$A$1,ROUNDUP(MOD(COLUMN()-1,31.001),0)),HolidayList[Date],0))),(VLOOKUP(VLOOKUP(WEEKDAY(DATE($A$2,INT((COLUMN()-1)/31.001)+$A$1,ROUNDUP(MOD(COLUMN()-1,31.001),0)),2),Sheet3!$D$1:$E$7,2,0),$NW$21:$NX$35,2,0)="Yes"))</f>
        <v>1</v>
      </c>
      <c r="KQ3" s="13" t="b">
        <f>AND(NOT(ISNUMBER(MATCH(DATE($A$2,INT((COLUMN()-1)/31.001)+$A$1,ROUNDUP(MOD(COLUMN()-1,31.001),0)),HolidayList[Date],0))),(VLOOKUP(VLOOKUP(WEEKDAY(DATE($A$2,INT((COLUMN()-1)/31.001)+$A$1,ROUNDUP(MOD(COLUMN()-1,31.001),0)),2),Sheet3!$D$1:$E$7,2,0),$NW$21:$NX$35,2,0)="Yes"))</f>
        <v>1</v>
      </c>
      <c r="KR3" s="13" t="b">
        <f>AND(NOT(ISNUMBER(MATCH(DATE($A$2,INT((COLUMN()-1)/31.001)+$A$1,ROUNDUP(MOD(COLUMN()-1,31.001),0)),HolidayList[Date],0))),(VLOOKUP(VLOOKUP(WEEKDAY(DATE($A$2,INT((COLUMN()-1)/31.001)+$A$1,ROUNDUP(MOD(COLUMN()-1,31.001),0)),2),Sheet3!$D$1:$E$7,2,0),$NW$21:$NX$35,2,0)="Yes"))</f>
        <v>1</v>
      </c>
      <c r="KS3" s="13" t="b">
        <f>AND(NOT(ISNUMBER(MATCH(DATE($A$2,INT((COLUMN()-1)/31.001)+$A$1,ROUNDUP(MOD(COLUMN()-1,31.001),0)),HolidayList[Date],0))),(VLOOKUP(VLOOKUP(WEEKDAY(DATE($A$2,INT((COLUMN()-1)/31.001)+$A$1,ROUNDUP(MOD(COLUMN()-1,31.001),0)),2),Sheet3!$D$1:$E$7,2,0),$NW$21:$NX$35,2,0)="Yes"))</f>
        <v>0</v>
      </c>
      <c r="KT3" s="13" t="b">
        <f>AND(NOT(ISNUMBER(MATCH(DATE($A$2,INT((COLUMN()-1)/31.001)+$A$1,ROUNDUP(MOD(COLUMN()-1,31.001),0)),HolidayList[Date],0))),(VLOOKUP(VLOOKUP(WEEKDAY(DATE($A$2,INT((COLUMN()-1)/31.001)+$A$1,ROUNDUP(MOD(COLUMN()-1,31.001),0)),2),Sheet3!$D$1:$E$7,2,0),$NW$21:$NX$35,2,0)="Yes"))</f>
        <v>0</v>
      </c>
      <c r="KU3" s="13" t="b">
        <f>AND(NOT(ISNUMBER(MATCH(DATE($A$2,INT((COLUMN()-1)/31.001)+$A$1,ROUNDUP(MOD(COLUMN()-1,31.001),0)),HolidayList[Date],0))),(VLOOKUP(VLOOKUP(WEEKDAY(DATE($A$2,INT((COLUMN()-1)/31.001)+$A$1,ROUNDUP(MOD(COLUMN()-1,31.001),0)),2),Sheet3!$D$1:$E$7,2,0),$NW$21:$NX$35,2,0)="Yes"))</f>
        <v>1</v>
      </c>
      <c r="KV3" s="13" t="b">
        <f>AND(NOT(ISNUMBER(MATCH(DATE($A$2,INT((COLUMN()-1)/31.001)+$A$1,ROUNDUP(MOD(COLUMN()-1,31.001),0)),HolidayList[Date],0))),(VLOOKUP(VLOOKUP(WEEKDAY(DATE($A$2,INT((COLUMN()-1)/31.001)+$A$1,ROUNDUP(MOD(COLUMN()-1,31.001),0)),2),Sheet3!$D$1:$E$7,2,0),$NW$21:$NX$35,2,0)="Yes"))</f>
        <v>1</v>
      </c>
      <c r="KW3" s="13" t="b">
        <f>AND(NOT(ISNUMBER(MATCH(DATE($A$2,INT((COLUMN()-1)/31.001)+$A$1,ROUNDUP(MOD(COLUMN()-1,31.001),0)),HolidayList[Date],0))),(VLOOKUP(VLOOKUP(WEEKDAY(DATE($A$2,INT((COLUMN()-1)/31.001)+$A$1,ROUNDUP(MOD(COLUMN()-1,31.001),0)),2),Sheet3!$D$1:$E$7,2,0),$NW$21:$NX$35,2,0)="Yes"))</f>
        <v>1</v>
      </c>
      <c r="KX3" s="13" t="b">
        <f>AND(NOT(ISNUMBER(MATCH(DATE($A$2,INT((COLUMN()-1)/31.001)+$A$1,ROUNDUP(MOD(COLUMN()-1,31.001),0)),HolidayList[Date],0))),(VLOOKUP(VLOOKUP(WEEKDAY(DATE($A$2,INT((COLUMN()-1)/31.001)+$A$1,ROUNDUP(MOD(COLUMN()-1,31.001),0)),2),Sheet3!$D$1:$E$7,2,0),$NW$21:$NX$35,2,0)="Yes"))</f>
        <v>1</v>
      </c>
      <c r="KY3" s="13" t="b">
        <f>AND(NOT(ISNUMBER(MATCH(DATE($A$2,INT((COLUMN()-1)/31.001)+$A$1,ROUNDUP(MOD(COLUMN()-1,31.001),0)),HolidayList[Date],0))),(VLOOKUP(VLOOKUP(WEEKDAY(DATE($A$2,INT((COLUMN()-1)/31.001)+$A$1,ROUNDUP(MOD(COLUMN()-1,31.001),0)),2),Sheet3!$D$1:$E$7,2,0),$NW$21:$NX$35,2,0)="Yes"))</f>
        <v>1</v>
      </c>
      <c r="KZ3" s="13" t="b">
        <f>AND(NOT(ISNUMBER(MATCH(DATE($A$2,INT((COLUMN()-1)/31.001)+$A$1,ROUNDUP(MOD(COLUMN()-1,31.001),0)),HolidayList[Date],0))),(VLOOKUP(VLOOKUP(WEEKDAY(DATE($A$2,INT((COLUMN()-1)/31.001)+$A$1,ROUNDUP(MOD(COLUMN()-1,31.001),0)),2),Sheet3!$D$1:$E$7,2,0),$NW$21:$NX$35,2,0)="Yes"))</f>
        <v>0</v>
      </c>
      <c r="LA3" s="13" t="b">
        <f>AND(NOT(ISNUMBER(MATCH(DATE($A$2,INT((COLUMN()-1)/31.001)+$A$1,ROUNDUP(MOD(COLUMN()-1,31.001),0)),HolidayList[Date],0))),(VLOOKUP(VLOOKUP(WEEKDAY(DATE($A$2,INT((COLUMN()-1)/31.001)+$A$1,ROUNDUP(MOD(COLUMN()-1,31.001),0)),2),Sheet3!$D$1:$E$7,2,0),$NW$21:$NX$35,2,0)="Yes"))</f>
        <v>0</v>
      </c>
      <c r="LB3" s="13" t="b">
        <f>AND(NOT(ISNUMBER(MATCH(DATE($A$2,INT((COLUMN()-1)/31.001)+$A$1,ROUNDUP(MOD(COLUMN()-1,31.001),0)),HolidayList[Date],0))),(VLOOKUP(VLOOKUP(WEEKDAY(DATE($A$2,INT((COLUMN()-1)/31.001)+$A$1,ROUNDUP(MOD(COLUMN()-1,31.001),0)),2),Sheet3!$D$1:$E$7,2,0),$NW$21:$NX$35,2,0)="Yes"))</f>
        <v>1</v>
      </c>
      <c r="LC3" s="13" t="b">
        <f>AND(NOT(ISNUMBER(MATCH(DATE($A$2,INT((COLUMN()-1)/31.001)+$A$1,ROUNDUP(MOD(COLUMN()-1,31.001),0)),HolidayList[Date],0))),(VLOOKUP(VLOOKUP(WEEKDAY(DATE($A$2,INT((COLUMN()-1)/31.001)+$A$1,ROUNDUP(MOD(COLUMN()-1,31.001),0)),2),Sheet3!$D$1:$E$7,2,0),$NW$21:$NX$35,2,0)="Yes"))</f>
        <v>1</v>
      </c>
      <c r="LD3" s="13" t="b">
        <f>AND(NOT(ISNUMBER(MATCH(DATE($A$2,INT((COLUMN()-1)/31.001)+$A$1,ROUNDUP(MOD(COLUMN()-1,31.001),0)),HolidayList[Date],0))),(VLOOKUP(VLOOKUP(WEEKDAY(DATE($A$2,INT((COLUMN()-1)/31.001)+$A$1,ROUNDUP(MOD(COLUMN()-1,31.001),0)),2),Sheet3!$D$1:$E$7,2,0),$NW$21:$NX$35,2,0)="Yes"))</f>
        <v>1</v>
      </c>
      <c r="LE3" s="13" t="b">
        <f>AND(NOT(ISNUMBER(MATCH(DATE($A$2,INT((COLUMN()-1)/31.001)+$A$1,ROUNDUP(MOD(COLUMN()-1,31.001),0)),HolidayList[Date],0))),(VLOOKUP(VLOOKUP(WEEKDAY(DATE($A$2,INT((COLUMN()-1)/31.001)+$A$1,ROUNDUP(MOD(COLUMN()-1,31.001),0)),2),Sheet3!$D$1:$E$7,2,0),$NW$21:$NX$35,2,0)="Yes"))</f>
        <v>1</v>
      </c>
      <c r="LF3" s="13" t="b">
        <f>AND(NOT(ISNUMBER(MATCH(DATE($A$2,INT((COLUMN()-1)/31.001)+$A$1,ROUNDUP(MOD(COLUMN()-1,31.001),0)),HolidayList[Date],0))),(VLOOKUP(VLOOKUP(WEEKDAY(DATE($A$2,INT((COLUMN()-1)/31.001)+$A$1,ROUNDUP(MOD(COLUMN()-1,31.001),0)),2),Sheet3!$D$1:$E$7,2,0),$NW$21:$NX$35,2,0)="Yes"))</f>
        <v>1</v>
      </c>
      <c r="LG3" s="13" t="b">
        <f>AND(NOT(ISNUMBER(MATCH(DATE($A$2,INT((COLUMN()-1)/31.001)+$A$1,ROUNDUP(MOD(COLUMN()-1,31.001),0)),HolidayList[Date],0))),(VLOOKUP(VLOOKUP(WEEKDAY(DATE($A$2,INT((COLUMN()-1)/31.001)+$A$1,ROUNDUP(MOD(COLUMN()-1,31.001),0)),2),Sheet3!$D$1:$E$7,2,0),$NW$21:$NX$35,2,0)="Yes"))</f>
        <v>0</v>
      </c>
      <c r="LH3" s="13" t="b">
        <f>AND(NOT(ISNUMBER(MATCH(DATE($A$2,INT((COLUMN()-1)/31.001)+$A$1,ROUNDUP(MOD(COLUMN()-1,31.001),0)),HolidayList[Date],0))),(VLOOKUP(VLOOKUP(WEEKDAY(DATE($A$2,INT((COLUMN()-1)/31.001)+$A$1,ROUNDUP(MOD(COLUMN()-1,31.001),0)),2),Sheet3!$D$1:$E$7,2,0),$NW$21:$NX$35,2,0)="Yes"))</f>
        <v>0</v>
      </c>
      <c r="LI3" s="13" t="b">
        <f>AND(NOT(ISNUMBER(MATCH(DATE($A$2,INT((COLUMN()-1)/31.001)+$A$1,ROUNDUP(MOD(COLUMN()-1,31.001),0)),HolidayList[Date],0))),(VLOOKUP(VLOOKUP(WEEKDAY(DATE($A$2,INT((COLUMN()-1)/31.001)+$A$1,ROUNDUP(MOD(COLUMN()-1,31.001),0)),2),Sheet3!$D$1:$E$7,2,0),$NW$21:$NX$35,2,0)="Yes"))</f>
        <v>1</v>
      </c>
      <c r="LJ3" s="13" t="b">
        <f>AND(NOT(ISNUMBER(MATCH(DATE($A$2,INT((COLUMN()-1)/31.001)+$A$1,ROUNDUP(MOD(COLUMN()-1,31.001),0)),HolidayList[Date],0))),(VLOOKUP(VLOOKUP(WEEKDAY(DATE($A$2,INT((COLUMN()-1)/31.001)+$A$1,ROUNDUP(MOD(COLUMN()-1,31.001),0)),2),Sheet3!$D$1:$E$7,2,0),$NW$21:$NX$35,2,0)="Yes"))</f>
        <v>1</v>
      </c>
      <c r="LK3" s="13" t="b">
        <f>AND(NOT(ISNUMBER(MATCH(DATE($A$2,INT((COLUMN()-1)/31.001)+$A$1,ROUNDUP(MOD(COLUMN()-1,31.001),0)),HolidayList[Date],0))),(VLOOKUP(VLOOKUP(WEEKDAY(DATE($A$2,INT((COLUMN()-1)/31.001)+$A$1,ROUNDUP(MOD(COLUMN()-1,31.001),0)),2),Sheet3!$D$1:$E$7,2,0),$NW$21:$NX$35,2,0)="Yes"))</f>
        <v>1</v>
      </c>
      <c r="LL3" s="13" t="b">
        <f>AND(NOT(ISNUMBER(MATCH(DATE($A$2,INT((COLUMN()-1)/31.001)+$A$1,ROUNDUP(MOD(COLUMN()-1,31.001),0)),HolidayList[Date],0))),(VLOOKUP(VLOOKUP(WEEKDAY(DATE($A$2,INT((COLUMN()-1)/31.001)+$A$1,ROUNDUP(MOD(COLUMN()-1,31.001),0)),2),Sheet3!$D$1:$E$7,2,0),$NW$21:$NX$35,2,0)="Yes"))</f>
        <v>1</v>
      </c>
      <c r="LM3" s="13" t="b">
        <f>AND(NOT(ISNUMBER(MATCH(DATE($A$2,INT((COLUMN()-1)/31.001)+$A$1,ROUNDUP(MOD(COLUMN()-1,31.001),0)),HolidayList[Date],0))),(VLOOKUP(VLOOKUP(WEEKDAY(DATE($A$2,INT((COLUMN()-1)/31.001)+$A$1,ROUNDUP(MOD(COLUMN()-1,31.001),0)),2),Sheet3!$D$1:$E$7,2,0),$NW$21:$NX$35,2,0)="Yes"))</f>
        <v>1</v>
      </c>
      <c r="LN3" s="13" t="b">
        <f>AND(NOT(ISNUMBER(MATCH(DATE($A$2,INT((COLUMN()-1)/31.001)+$A$1,ROUNDUP(MOD(COLUMN()-1,31.001),0)),HolidayList[Date],0))),(VLOOKUP(VLOOKUP(WEEKDAY(DATE($A$2,INT((COLUMN()-1)/31.001)+$A$1,ROUNDUP(MOD(COLUMN()-1,31.001),0)),2),Sheet3!$D$1:$E$7,2,0),$NW$21:$NX$35,2,0)="Yes"))</f>
        <v>0</v>
      </c>
      <c r="LO3" s="13" t="b">
        <f>AND(NOT(ISNUMBER(MATCH(DATE($A$2,INT((COLUMN()-1)/31.001)+$A$1,ROUNDUP(MOD(COLUMN()-1,31.001),0)),HolidayList[Date],0))),(VLOOKUP(VLOOKUP(WEEKDAY(DATE($A$2,INT((COLUMN()-1)/31.001)+$A$1,ROUNDUP(MOD(COLUMN()-1,31.001),0)),2),Sheet3!$D$1:$E$7,2,0),$NW$21:$NX$35,2,0)="Yes"))</f>
        <v>0</v>
      </c>
      <c r="LP3" s="13" t="b">
        <f>AND(NOT(ISNUMBER(MATCH(DATE($A$2,INT((COLUMN()-1)/31.001)+$A$1,ROUNDUP(MOD(COLUMN()-1,31.001),0)),HolidayList[Date],0))),(VLOOKUP(VLOOKUP(WEEKDAY(DATE($A$2,INT((COLUMN()-1)/31.001)+$A$1,ROUNDUP(MOD(COLUMN()-1,31.001),0)),2),Sheet3!$D$1:$E$7,2,0),$NW$21:$NX$35,2,0)="Yes"))</f>
        <v>1</v>
      </c>
      <c r="LQ3" s="13" t="b">
        <f>AND(NOT(ISNUMBER(MATCH(DATE($A$2,INT((COLUMN()-1)/31.001)+$A$1,ROUNDUP(MOD(COLUMN()-1,31.001),0)),HolidayList[Date],0))),(VLOOKUP(VLOOKUP(WEEKDAY(DATE($A$2,INT((COLUMN()-1)/31.001)+$A$1,ROUNDUP(MOD(COLUMN()-1,31.001),0)),2),Sheet3!$D$1:$E$7,2,0),$NW$21:$NX$35,2,0)="Yes"))</f>
        <v>1</v>
      </c>
      <c r="LR3" s="13" t="b">
        <f>AND(NOT(ISNUMBER(MATCH(DATE($A$2,INT((COLUMN()-1)/31.001)+$A$1,ROUNDUP(MOD(COLUMN()-1,31.001),0)),HolidayList[Date],0))),(VLOOKUP(VLOOKUP(WEEKDAY(DATE($A$2,INT((COLUMN()-1)/31.001)+$A$1,ROUNDUP(MOD(COLUMN()-1,31.001),0)),2),Sheet3!$D$1:$E$7,2,0),$NW$21:$NX$35,2,0)="Yes"))</f>
        <v>1</v>
      </c>
      <c r="LS3" s="13" t="b">
        <f>AND(NOT(ISNUMBER(MATCH(DATE($A$2,INT((COLUMN()-1)/31.001)+$A$1,ROUNDUP(MOD(COLUMN()-1,31.001),0)),HolidayList[Date],0))),(VLOOKUP(VLOOKUP(WEEKDAY(DATE($A$2,INT((COLUMN()-1)/31.001)+$A$1,ROUNDUP(MOD(COLUMN()-1,31.001),0)),2),Sheet3!$D$1:$E$7,2,0),$NW$21:$NX$35,2,0)="Yes"))</f>
        <v>1</v>
      </c>
      <c r="LT3" s="13" t="b">
        <f>AND(NOT(ISNUMBER(MATCH(DATE($A$2,INT((COLUMN()-1)/31.001)+$A$1,ROUNDUP(MOD(COLUMN()-1,31.001),0)),HolidayList[Date],0))),(VLOOKUP(VLOOKUP(WEEKDAY(DATE($A$2,INT((COLUMN()-1)/31.001)+$A$1,ROUNDUP(MOD(COLUMN()-1,31.001),0)),2),Sheet3!$D$1:$E$7,2,0),$NW$21:$NX$35,2,0)="Yes"))</f>
        <v>1</v>
      </c>
      <c r="LU3" s="13" t="b">
        <f>AND(NOT(ISNUMBER(MATCH(DATE($A$2,INT((COLUMN()-1)/31.001)+$A$1,ROUNDUP(MOD(COLUMN()-1,31.001),0)),HolidayList[Date],0))),(VLOOKUP(VLOOKUP(WEEKDAY(DATE($A$2,INT((COLUMN()-1)/31.001)+$A$1,ROUNDUP(MOD(COLUMN()-1,31.001),0)),2),Sheet3!$D$1:$E$7,2,0),$NW$21:$NX$35,2,0)="Yes"))</f>
        <v>0</v>
      </c>
      <c r="LV3" s="13" t="b">
        <f>AND(NOT(ISNUMBER(MATCH(DATE($A$2,INT((COLUMN()-1)/31.001)+$A$1,ROUNDUP(MOD(COLUMN()-1,31.001),0)),HolidayList[Date],0))),(VLOOKUP(VLOOKUP(WEEKDAY(DATE($A$2,INT((COLUMN()-1)/31.001)+$A$1,ROUNDUP(MOD(COLUMN()-1,31.001),0)),2),Sheet3!$D$1:$E$7,2,0),$NW$21:$NX$35,2,0)="Yes"))</f>
        <v>0</v>
      </c>
      <c r="LW3" s="13" t="b">
        <f>AND(NOT(ISNUMBER(MATCH(DATE($A$2,INT((COLUMN()-1)/31.001)+$A$1,ROUNDUP(MOD(COLUMN()-1,31.001),0)),HolidayList[Date],0))),(VLOOKUP(VLOOKUP(WEEKDAY(DATE($A$2,INT((COLUMN()-1)/31.001)+$A$1,ROUNDUP(MOD(COLUMN()-1,31.001),0)),2),Sheet3!$D$1:$E$7,2,0),$NW$21:$NX$35,2,0)="Yes"))</f>
        <v>1</v>
      </c>
      <c r="LX3" s="13" t="b">
        <f>AND(NOT(ISNUMBER(MATCH(DATE($A$2,INT((COLUMN()-1)/31.001)+$A$1,ROUNDUP(MOD(COLUMN()-1,31.001),0)),HolidayList[Date],0))),(VLOOKUP(VLOOKUP(WEEKDAY(DATE($A$2,INT((COLUMN()-1)/31.001)+$A$1,ROUNDUP(MOD(COLUMN()-1,31.001),0)),2),Sheet3!$D$1:$E$7,2,0),$NW$21:$NX$35,2,0)="Yes"))</f>
        <v>1</v>
      </c>
      <c r="LY3" s="13" t="b">
        <f>AND(NOT(ISNUMBER(MATCH(DATE($A$2,INT((COLUMN()-1)/31.001)+$A$1,ROUNDUP(MOD(COLUMN()-1,31.001),0)),HolidayList[Date],0))),(VLOOKUP(VLOOKUP(WEEKDAY(DATE($A$2,INT((COLUMN()-1)/31.001)+$A$1,ROUNDUP(MOD(COLUMN()-1,31.001),0)),2),Sheet3!$D$1:$E$7,2,0),$NW$21:$NX$35,2,0)="Yes"))</f>
        <v>1</v>
      </c>
      <c r="LZ3" s="13" t="b">
        <f>AND(NOT(ISNUMBER(MATCH(DATE($A$2,INT((COLUMN()-1)/31.001)+$A$1,ROUNDUP(MOD(COLUMN()-1,31.001),0)),HolidayList[Date],0))),(VLOOKUP(VLOOKUP(WEEKDAY(DATE($A$2,INT((COLUMN()-1)/31.001)+$A$1,ROUNDUP(MOD(COLUMN()-1,31.001),0)),2),Sheet3!$D$1:$E$7,2,0),$NW$21:$NX$35,2,0)="Yes"))</f>
        <v>1</v>
      </c>
      <c r="MA3" s="13" t="b">
        <f>AND(NOT(ISNUMBER(MATCH(DATE($A$2,INT((COLUMN()-1)/31.001)+$A$1,ROUNDUP(MOD(COLUMN()-1,31.001),0)),HolidayList[Date],0))),(VLOOKUP(VLOOKUP(WEEKDAY(DATE($A$2,INT((COLUMN()-1)/31.001)+$A$1,ROUNDUP(MOD(COLUMN()-1,31.001),0)),2),Sheet3!$D$1:$E$7,2,0),$NW$21:$NX$35,2,0)="Yes"))</f>
        <v>1</v>
      </c>
      <c r="MB3" s="13" t="b">
        <f>AND(NOT(ISNUMBER(MATCH(DATE($A$2,INT((COLUMN()-1)/31.001)+$A$1,ROUNDUP(MOD(COLUMN()-1,31.001),0)),HolidayList[Date],0))),(VLOOKUP(VLOOKUP(WEEKDAY(DATE($A$2,INT((COLUMN()-1)/31.001)+$A$1,ROUNDUP(MOD(COLUMN()-1,31.001),0)),2),Sheet3!$D$1:$E$7,2,0),$NW$21:$NX$35,2,0)="Yes"))</f>
        <v>0</v>
      </c>
      <c r="MC3" s="13" t="b">
        <f>AND(NOT(ISNUMBER(MATCH(DATE($A$2,INT((COLUMN()-1)/31.001)+$A$1,ROUNDUP(MOD(COLUMN()-1,31.001),0)),HolidayList[Date],0))),(VLOOKUP(VLOOKUP(WEEKDAY(DATE($A$2,INT((COLUMN()-1)/31.001)+$A$1,ROUNDUP(MOD(COLUMN()-1,31.001),0)),2),Sheet3!$D$1:$E$7,2,0),$NW$21:$NX$35,2,0)="Yes"))</f>
        <v>0</v>
      </c>
      <c r="MD3" s="13" t="b">
        <f>AND(NOT(ISNUMBER(MATCH(DATE($A$2,INT((COLUMN()-1)/31.001)+$A$1,ROUNDUP(MOD(COLUMN()-1,31.001),0)),HolidayList[Date],0))),(VLOOKUP(VLOOKUP(WEEKDAY(DATE($A$2,INT((COLUMN()-1)/31.001)+$A$1,ROUNDUP(MOD(COLUMN()-1,31.001),0)),2),Sheet3!$D$1:$E$7,2,0),$NW$21:$NX$35,2,0)="Yes"))</f>
        <v>1</v>
      </c>
      <c r="ME3" s="13" t="b">
        <f>AND(NOT(ISNUMBER(MATCH(DATE($A$2,INT((COLUMN()-1)/31.001)+$A$1,ROUNDUP(MOD(COLUMN()-1,31.001),0)),HolidayList[Date],0))),(VLOOKUP(VLOOKUP(WEEKDAY(DATE($A$2,INT((COLUMN()-1)/31.001)+$A$1,ROUNDUP(MOD(COLUMN()-1,31.001),0)),2),Sheet3!$D$1:$E$7,2,0),$NW$21:$NX$35,2,0)="Yes"))</f>
        <v>1</v>
      </c>
      <c r="MF3" s="13" t="b">
        <f>AND(NOT(ISNUMBER(MATCH(DATE($A$2,INT((COLUMN()-1)/31.001)+$A$1,ROUNDUP(MOD(COLUMN()-1,31.001),0)),HolidayList[Date],0))),(VLOOKUP(VLOOKUP(WEEKDAY(DATE($A$2,INT((COLUMN()-1)/31.001)+$A$1,ROUNDUP(MOD(COLUMN()-1,31.001),0)),2),Sheet3!$D$1:$E$7,2,0),$NW$21:$NX$35,2,0)="Yes"))</f>
        <v>1</v>
      </c>
      <c r="MG3" s="13" t="b">
        <f>AND(NOT(ISNUMBER(MATCH(DATE($A$2,INT((COLUMN()-1)/31.001)+$A$1,ROUNDUP(MOD(COLUMN()-1,31.001),0)),HolidayList[Date],0))),(VLOOKUP(VLOOKUP(WEEKDAY(DATE($A$2,INT((COLUMN()-1)/31.001)+$A$1,ROUNDUP(MOD(COLUMN()-1,31.001),0)),2),Sheet3!$D$1:$E$7,2,0),$NW$21:$NX$35,2,0)="Yes"))</f>
        <v>1</v>
      </c>
      <c r="MH3" s="13" t="b">
        <f>AND(NOT(ISNUMBER(MATCH(DATE($A$2,INT((COLUMN()-1)/31.001)+$A$1,ROUNDUP(MOD(COLUMN()-1,31.001),0)),HolidayList[Date],0))),(VLOOKUP(VLOOKUP(WEEKDAY(DATE($A$2,INT((COLUMN()-1)/31.001)+$A$1,ROUNDUP(MOD(COLUMN()-1,31.001),0)),2),Sheet3!$D$1:$E$7,2,0),$NW$21:$NX$35,2,0)="Yes"))</f>
        <v>1</v>
      </c>
      <c r="MI3" s="13" t="b">
        <f>AND(NOT(ISNUMBER(MATCH(DATE($A$2,INT((COLUMN()-1)/31.001)+$A$1,ROUNDUP(MOD(COLUMN()-1,31.001),0)),HolidayList[Date],0))),(VLOOKUP(VLOOKUP(WEEKDAY(DATE($A$2,INT((COLUMN()-1)/31.001)+$A$1,ROUNDUP(MOD(COLUMN()-1,31.001),0)),2),Sheet3!$D$1:$E$7,2,0),$NW$21:$NX$35,2,0)="Yes"))</f>
        <v>1</v>
      </c>
      <c r="MJ3" s="13" t="b">
        <f>AND(NOT(ISNUMBER(MATCH(DATE($A$2,INT((COLUMN()-1)/31.001)+$A$1,ROUNDUP(MOD(COLUMN()-1,31.001),0)),HolidayList[Date],0))),(VLOOKUP(VLOOKUP(WEEKDAY(DATE($A$2,INT((COLUMN()-1)/31.001)+$A$1,ROUNDUP(MOD(COLUMN()-1,31.001),0)),2),Sheet3!$D$1:$E$7,2,0),$NW$21:$NX$35,2,0)="Yes"))</f>
        <v>0</v>
      </c>
      <c r="MK3" s="13" t="b">
        <f>AND(NOT(ISNUMBER(MATCH(DATE($A$2,INT((COLUMN()-1)/31.001)+$A$1,ROUNDUP(MOD(COLUMN()-1,31.001),0)),HolidayList[Date],0))),(VLOOKUP(VLOOKUP(WEEKDAY(DATE($A$2,INT((COLUMN()-1)/31.001)+$A$1,ROUNDUP(MOD(COLUMN()-1,31.001),0)),2),Sheet3!$D$1:$E$7,2,0),$NW$21:$NX$35,2,0)="Yes"))</f>
        <v>0</v>
      </c>
      <c r="ML3" s="13" t="b">
        <f>AND(NOT(ISNUMBER(MATCH(DATE($A$2,INT((COLUMN()-1)/31.001)+$A$1,ROUNDUP(MOD(COLUMN()-1,31.001),0)),HolidayList[Date],0))),(VLOOKUP(VLOOKUP(WEEKDAY(DATE($A$2,INT((COLUMN()-1)/31.001)+$A$1,ROUNDUP(MOD(COLUMN()-1,31.001),0)),2),Sheet3!$D$1:$E$7,2,0),$NW$21:$NX$35,2,0)="Yes"))</f>
        <v>1</v>
      </c>
      <c r="MM3" s="13" t="b">
        <f>AND(NOT(ISNUMBER(MATCH(DATE($A$2,INT((COLUMN()-1)/31.001)+$A$1,ROUNDUP(MOD(COLUMN()-1,31.001),0)),HolidayList[Date],0))),(VLOOKUP(VLOOKUP(WEEKDAY(DATE($A$2,INT((COLUMN()-1)/31.001)+$A$1,ROUNDUP(MOD(COLUMN()-1,31.001),0)),2),Sheet3!$D$1:$E$7,2,0),$NW$21:$NX$35,2,0)="Yes"))</f>
        <v>1</v>
      </c>
      <c r="MN3" s="13" t="b">
        <f>AND(NOT(ISNUMBER(MATCH(DATE($A$2,INT((COLUMN()-1)/31.001)+$A$1,ROUNDUP(MOD(COLUMN()-1,31.001),0)),HolidayList[Date],0))),(VLOOKUP(VLOOKUP(WEEKDAY(DATE($A$2,INT((COLUMN()-1)/31.001)+$A$1,ROUNDUP(MOD(COLUMN()-1,31.001),0)),2),Sheet3!$D$1:$E$7,2,0),$NW$21:$NX$35,2,0)="Yes"))</f>
        <v>1</v>
      </c>
      <c r="MO3" s="13" t="b">
        <f>AND(NOT(ISNUMBER(MATCH(DATE($A$2,INT((COLUMN()-1)/31.001)+$A$1,ROUNDUP(MOD(COLUMN()-1,31.001),0)),HolidayList[Date],0))),(VLOOKUP(VLOOKUP(WEEKDAY(DATE($A$2,INT((COLUMN()-1)/31.001)+$A$1,ROUNDUP(MOD(COLUMN()-1,31.001),0)),2),Sheet3!$D$1:$E$7,2,0),$NW$21:$NX$35,2,0)="Yes"))</f>
        <v>1</v>
      </c>
      <c r="MP3" s="13" t="b">
        <f>AND(NOT(ISNUMBER(MATCH(DATE($A$2,INT((COLUMN()-1)/31.001)+$A$1,ROUNDUP(MOD(COLUMN()-1,31.001),0)),HolidayList[Date],0))),(VLOOKUP(VLOOKUP(WEEKDAY(DATE($A$2,INT((COLUMN()-1)/31.001)+$A$1,ROUNDUP(MOD(COLUMN()-1,31.001),0)),2),Sheet3!$D$1:$E$7,2,0),$NW$21:$NX$35,2,0)="Yes"))</f>
        <v>1</v>
      </c>
      <c r="MQ3" s="13" t="b">
        <f>AND(NOT(ISNUMBER(MATCH(DATE($A$2,INT((COLUMN()-1)/31.001)+$A$1,ROUNDUP(MOD(COLUMN()-1,31.001),0)),HolidayList[Date],0))),(VLOOKUP(VLOOKUP(WEEKDAY(DATE($A$2,INT((COLUMN()-1)/31.001)+$A$1,ROUNDUP(MOD(COLUMN()-1,31.001),0)),2),Sheet3!$D$1:$E$7,2,0),$NW$21:$NX$35,2,0)="Yes"))</f>
        <v>0</v>
      </c>
      <c r="MR3" s="13" t="b">
        <f>AND(NOT(ISNUMBER(MATCH(DATE($A$2,INT((COLUMN()-1)/31.001)+$A$1,ROUNDUP(MOD(COLUMN()-1,31.001),0)),HolidayList[Date],0))),(VLOOKUP(VLOOKUP(WEEKDAY(DATE($A$2,INT((COLUMN()-1)/31.001)+$A$1,ROUNDUP(MOD(COLUMN()-1,31.001),0)),2),Sheet3!$D$1:$E$7,2,0),$NW$21:$NX$35,2,0)="Yes"))</f>
        <v>0</v>
      </c>
      <c r="MS3" s="13" t="b">
        <f>AND(NOT(ISNUMBER(MATCH(DATE($A$2,INT((COLUMN()-1)/31.001)+$A$1,ROUNDUP(MOD(COLUMN()-1,31.001),0)),HolidayList[Date],0))),(VLOOKUP(VLOOKUP(WEEKDAY(DATE($A$2,INT((COLUMN()-1)/31.001)+$A$1,ROUNDUP(MOD(COLUMN()-1,31.001),0)),2),Sheet3!$D$1:$E$7,2,0),$NW$21:$NX$35,2,0)="Yes"))</f>
        <v>1</v>
      </c>
      <c r="MT3" s="13" t="b">
        <f>AND(NOT(ISNUMBER(MATCH(DATE($A$2,INT((COLUMN()-1)/31.001)+$A$1,ROUNDUP(MOD(COLUMN()-1,31.001),0)),HolidayList[Date],0))),(VLOOKUP(VLOOKUP(WEEKDAY(DATE($A$2,INT((COLUMN()-1)/31.001)+$A$1,ROUNDUP(MOD(COLUMN()-1,31.001),0)),2),Sheet3!$D$1:$E$7,2,0),$NW$21:$NX$35,2,0)="Yes"))</f>
        <v>1</v>
      </c>
      <c r="MU3" s="13" t="b">
        <f>AND(NOT(ISNUMBER(MATCH(DATE($A$2,INT((COLUMN()-1)/31.001)+$A$1,ROUNDUP(MOD(COLUMN()-1,31.001),0)),HolidayList[Date],0))),(VLOOKUP(VLOOKUP(WEEKDAY(DATE($A$2,INT((COLUMN()-1)/31.001)+$A$1,ROUNDUP(MOD(COLUMN()-1,31.001),0)),2),Sheet3!$D$1:$E$7,2,0),$NW$21:$NX$35,2,0)="Yes"))</f>
        <v>1</v>
      </c>
      <c r="MV3" s="13" t="b">
        <f>AND(NOT(ISNUMBER(MATCH(DATE($A$2,INT((COLUMN()-1)/31.001)+$A$1,ROUNDUP(MOD(COLUMN()-1,31.001),0)),HolidayList[Date],0))),(VLOOKUP(VLOOKUP(WEEKDAY(DATE($A$2,INT((COLUMN()-1)/31.001)+$A$1,ROUNDUP(MOD(COLUMN()-1,31.001),0)),2),Sheet3!$D$1:$E$7,2,0),$NW$21:$NX$35,2,0)="Yes"))</f>
        <v>1</v>
      </c>
      <c r="MW3" s="13" t="b">
        <f>AND(NOT(ISNUMBER(MATCH(DATE($A$2,INT((COLUMN()-1)/31.001)+$A$1,ROUNDUP(MOD(COLUMN()-1,31.001),0)),HolidayList[Date],0))),(VLOOKUP(VLOOKUP(WEEKDAY(DATE($A$2,INT((COLUMN()-1)/31.001)+$A$1,ROUNDUP(MOD(COLUMN()-1,31.001),0)),2),Sheet3!$D$1:$E$7,2,0),$NW$21:$NX$35,2,0)="Yes"))</f>
        <v>1</v>
      </c>
      <c r="MX3" s="13" t="b">
        <f>AND(NOT(ISNUMBER(MATCH(DATE($A$2,INT((COLUMN()-1)/31.001)+$A$1,ROUNDUP(MOD(COLUMN()-1,31.001),0)),HolidayList[Date],0))),(VLOOKUP(VLOOKUP(WEEKDAY(DATE($A$2,INT((COLUMN()-1)/31.001)+$A$1,ROUNDUP(MOD(COLUMN()-1,31.001),0)),2),Sheet3!$D$1:$E$7,2,0),$NW$21:$NX$35,2,0)="Yes"))</f>
        <v>0</v>
      </c>
      <c r="MY3" s="13" t="b">
        <f>AND(NOT(ISNUMBER(MATCH(DATE($A$2,INT((COLUMN()-1)/31.001)+$A$1,ROUNDUP(MOD(COLUMN()-1,31.001),0)),HolidayList[Date],0))),(VLOOKUP(VLOOKUP(WEEKDAY(DATE($A$2,INT((COLUMN()-1)/31.001)+$A$1,ROUNDUP(MOD(COLUMN()-1,31.001),0)),2),Sheet3!$D$1:$E$7,2,0),$NW$21:$NX$35,2,0)="Yes"))</f>
        <v>0</v>
      </c>
      <c r="MZ3" s="13" t="b">
        <f>AND(NOT(ISNUMBER(MATCH(DATE($A$2,INT((COLUMN()-1)/31.001)+$A$1,ROUNDUP(MOD(COLUMN()-1,31.001),0)),HolidayList[Date],0))),(VLOOKUP(VLOOKUP(WEEKDAY(DATE($A$2,INT((COLUMN()-1)/31.001)+$A$1,ROUNDUP(MOD(COLUMN()-1,31.001),0)),2),Sheet3!$D$1:$E$7,2,0),$NW$21:$NX$35,2,0)="Yes"))</f>
        <v>1</v>
      </c>
      <c r="NA3" s="13" t="b">
        <f>AND(NOT(ISNUMBER(MATCH(DATE($A$2,INT((COLUMN()-1)/31.001)+$A$1,ROUNDUP(MOD(COLUMN()-1,31.001),0)),HolidayList[Date],0))),(VLOOKUP(VLOOKUP(WEEKDAY(DATE($A$2,INT((COLUMN()-1)/31.001)+$A$1,ROUNDUP(MOD(COLUMN()-1,31.001),0)),2),Sheet3!$D$1:$E$7,2,0),$NW$21:$NX$35,2,0)="Yes"))</f>
        <v>1</v>
      </c>
      <c r="NB3" s="13" t="b">
        <f>AND(NOT(ISNUMBER(MATCH(DATE($A$2,INT((COLUMN()-1)/31.001)+$A$1,ROUNDUP(MOD(COLUMN()-1,31.001),0)),HolidayList[Date],0))),(VLOOKUP(VLOOKUP(WEEKDAY(DATE($A$2,INT((COLUMN()-1)/31.001)+$A$1,ROUNDUP(MOD(COLUMN()-1,31.001),0)),2),Sheet3!$D$1:$E$7,2,0),$NW$21:$NX$35,2,0)="Yes"))</f>
        <v>1</v>
      </c>
      <c r="NC3" s="13" t="b">
        <f>AND(NOT(ISNUMBER(MATCH(DATE($A$2,INT((COLUMN()-1)/31.001)+$A$1,ROUNDUP(MOD(COLUMN()-1,31.001),0)),HolidayList[Date],0))),(VLOOKUP(VLOOKUP(WEEKDAY(DATE($A$2,INT((COLUMN()-1)/31.001)+$A$1,ROUNDUP(MOD(COLUMN()-1,31.001),0)),2),Sheet3!$D$1:$E$7,2,0),$NW$21:$NX$35,2,0)="Yes"))</f>
        <v>1</v>
      </c>
      <c r="ND3" s="13" t="b">
        <f>AND(NOT(ISNUMBER(MATCH(DATE($A$2,INT((COLUMN()-1)/31.001)+$A$1,ROUNDUP(MOD(COLUMN()-1,31.001),0)),HolidayList[Date],0))),(VLOOKUP(VLOOKUP(WEEKDAY(DATE($A$2,INT((COLUMN()-1)/31.001)+$A$1,ROUNDUP(MOD(COLUMN()-1,31.001),0)),2),Sheet3!$D$1:$E$7,2,0),$NW$21:$NX$35,2,0)="Yes"))</f>
        <v>1</v>
      </c>
      <c r="NE3" s="13" t="b">
        <f>AND(NOT(ISNUMBER(MATCH(DATE($A$2,INT((COLUMN()-1)/31.001)+$A$1,ROUNDUP(MOD(COLUMN()-1,31.001),0)),HolidayList[Date],0))),(VLOOKUP(VLOOKUP(WEEKDAY(DATE($A$2,INT((COLUMN()-1)/31.001)+$A$1,ROUNDUP(MOD(COLUMN()-1,31.001),0)),2),Sheet3!$D$1:$E$7,2,0),$NW$21:$NX$35,2,0)="Yes"))</f>
        <v>0</v>
      </c>
      <c r="NF3" s="13" t="b">
        <f>AND(NOT(ISNUMBER(MATCH(DATE($A$2,INT((COLUMN()-1)/31.001)+$A$1,ROUNDUP(MOD(COLUMN()-1,31.001),0)),HolidayList[Date],0))),(VLOOKUP(VLOOKUP(WEEKDAY(DATE($A$2,INT((COLUMN()-1)/31.001)+$A$1,ROUNDUP(MOD(COLUMN()-1,31.001),0)),2),Sheet3!$D$1:$E$7,2,0),$NW$21:$NX$35,2,0)="Yes"))</f>
        <v>0</v>
      </c>
      <c r="NG3" s="13" t="b">
        <f>AND(NOT(ISNUMBER(MATCH(DATE($A$2,INT((COLUMN()-1)/31.001)+$A$1,ROUNDUP(MOD(COLUMN()-1,31.001),0)),HolidayList[Date],0))),(VLOOKUP(VLOOKUP(WEEKDAY(DATE($A$2,INT((COLUMN()-1)/31.001)+$A$1,ROUNDUP(MOD(COLUMN()-1,31.001),0)),2),Sheet3!$D$1:$E$7,2,0),$NW$21:$NX$35,2,0)="Yes"))</f>
        <v>1</v>
      </c>
      <c r="NH3" s="13" t="b">
        <f>AND(NOT(ISNUMBER(MATCH(DATE($A$2,INT((COLUMN()-1)/31.001)+$A$1,ROUNDUP(MOD(COLUMN()-1,31.001),0)),HolidayList[Date],0))),(VLOOKUP(VLOOKUP(WEEKDAY(DATE($A$2,INT((COLUMN()-1)/31.001)+$A$1,ROUNDUP(MOD(COLUMN()-1,31.001),0)),2),Sheet3!$D$1:$E$7,2,0),$NW$21:$NX$35,2,0)="Yes"))</f>
        <v>1</v>
      </c>
      <c r="NI3" s="13" t="b">
        <f>AND(NOT(ISNUMBER(MATCH(DATE($A$2,INT((COLUMN()-1)/31.001)+$A$1,ROUNDUP(MOD(COLUMN()-1,31.001),0)),HolidayList[Date],0))),(VLOOKUP(VLOOKUP(WEEKDAY(DATE($A$2,INT((COLUMN()-1)/31.001)+$A$1,ROUNDUP(MOD(COLUMN()-1,31.001),0)),2),Sheet3!$D$1:$E$7,2,0),$NW$21:$NX$35,2,0)="Yes"))</f>
        <v>1</v>
      </c>
      <c r="NJ3" s="13" t="b">
        <f>AND(NOT(ISNUMBER(MATCH(DATE($A$2,INT((COLUMN()-1)/31.001)+$A$1,ROUNDUP(MOD(COLUMN()-1,31.001),0)),HolidayList[Date],0))),(VLOOKUP(VLOOKUP(WEEKDAY(DATE($A$2,INT((COLUMN()-1)/31.001)+$A$1,ROUNDUP(MOD(COLUMN()-1,31.001),0)),2),Sheet3!$D$1:$E$7,2,0),$NW$21:$NX$35,2,0)="Yes"))</f>
        <v>1</v>
      </c>
      <c r="NK3" s="2"/>
      <c r="NL3" s="2"/>
      <c r="NM3" s="2"/>
      <c r="NN3" s="2"/>
      <c r="NO3" s="2"/>
      <c r="NP3" s="2"/>
      <c r="NQ3" s="2"/>
      <c r="NR3" s="2"/>
      <c r="NS3" s="2"/>
      <c r="NT3" s="2"/>
      <c r="NU3" s="2"/>
      <c r="NV3" s="2"/>
      <c r="NY3" s="2"/>
      <c r="NZ3" s="2"/>
      <c r="OA3" s="2"/>
      <c r="OB3" s="2"/>
      <c r="OC3" s="2"/>
      <c r="OD3" s="2"/>
      <c r="OE3" s="2"/>
      <c r="OF3" s="2"/>
      <c r="OG3" s="2"/>
      <c r="OH3" s="2"/>
      <c r="OI3" s="2"/>
      <c r="OJ3" s="2"/>
      <c r="OK3" s="2"/>
      <c r="OL3" s="2"/>
      <c r="OM3" s="2"/>
      <c r="ON3" s="2"/>
      <c r="OO3" s="2"/>
      <c r="OP3" s="2"/>
      <c r="OQ3" s="2"/>
      <c r="OR3" s="2"/>
      <c r="OS3" s="2"/>
      <c r="OT3" s="2"/>
      <c r="OU3" s="2"/>
      <c r="OV3" s="2"/>
      <c r="OW3" s="2"/>
      <c r="OX3" s="2"/>
      <c r="OY3" s="2"/>
      <c r="OZ3" s="2"/>
      <c r="PA3" s="2"/>
      <c r="PB3" s="2"/>
      <c r="PC3" s="2"/>
      <c r="PD3" s="2"/>
      <c r="PE3" s="2"/>
      <c r="PF3" s="2"/>
      <c r="PG3" s="2"/>
      <c r="PH3" s="2"/>
      <c r="PI3" s="2"/>
      <c r="PJ3" s="2"/>
      <c r="PK3" s="2"/>
      <c r="PL3" s="2"/>
      <c r="PM3" s="2"/>
      <c r="PN3" s="2"/>
      <c r="PO3" s="2"/>
      <c r="PP3" s="2"/>
      <c r="PQ3" s="2"/>
      <c r="PR3" s="2"/>
      <c r="PS3" s="2"/>
      <c r="PT3" s="2"/>
      <c r="PU3" s="2"/>
      <c r="PV3" s="2"/>
      <c r="PW3" s="2"/>
      <c r="PX3" s="2"/>
      <c r="PY3" s="2"/>
      <c r="PZ3" s="2"/>
      <c r="QA3" s="2"/>
      <c r="QB3" s="2"/>
      <c r="QC3" s="2"/>
      <c r="QD3" s="2"/>
      <c r="QE3" s="2"/>
      <c r="QF3" s="2"/>
      <c r="QG3" s="2"/>
      <c r="QH3" s="2"/>
      <c r="QI3" s="2"/>
      <c r="QJ3" s="2"/>
      <c r="QK3" s="2"/>
      <c r="QL3" s="2"/>
      <c r="QM3" s="2"/>
      <c r="QN3" s="2"/>
      <c r="QO3" s="2"/>
      <c r="QP3" s="2"/>
      <c r="QQ3" s="2"/>
      <c r="QR3" s="2"/>
      <c r="QS3" s="2"/>
      <c r="QT3" s="2"/>
      <c r="QU3" s="2"/>
      <c r="QV3" s="2"/>
      <c r="QW3" s="2"/>
      <c r="QX3" s="2"/>
      <c r="QY3" s="2"/>
      <c r="QZ3" s="2"/>
      <c r="RA3" s="2"/>
      <c r="RB3" s="2"/>
      <c r="RC3" s="2"/>
      <c r="RD3" s="2"/>
      <c r="RE3" s="2"/>
      <c r="RF3" s="2"/>
      <c r="RG3" s="2"/>
      <c r="RH3" s="2"/>
      <c r="RI3" s="2"/>
      <c r="RJ3" s="2"/>
      <c r="RK3" s="2"/>
      <c r="RL3" s="2"/>
      <c r="RM3" s="2"/>
      <c r="RN3" s="2"/>
      <c r="RO3" s="2"/>
      <c r="RP3" s="2"/>
      <c r="RQ3" s="2"/>
      <c r="RR3" s="2"/>
      <c r="RS3" s="2"/>
      <c r="RT3" s="2"/>
      <c r="RU3" s="2"/>
      <c r="RV3" s="2"/>
      <c r="RW3" s="2"/>
      <c r="RX3" s="2"/>
      <c r="RY3" s="2"/>
      <c r="RZ3" s="2"/>
      <c r="SA3" s="2"/>
      <c r="SB3" s="2"/>
      <c r="SC3" s="2"/>
      <c r="SD3" s="2"/>
      <c r="SE3" s="2"/>
      <c r="SF3" s="2"/>
      <c r="SG3" s="2"/>
      <c r="SH3" s="2"/>
      <c r="SI3" s="2"/>
      <c r="SJ3" s="2"/>
      <c r="SK3" s="2"/>
      <c r="SL3" s="2"/>
      <c r="SM3" s="2"/>
      <c r="SN3" s="2"/>
      <c r="SO3" s="2"/>
      <c r="SP3" s="2"/>
      <c r="SQ3" s="2"/>
      <c r="SR3" s="2"/>
      <c r="SS3" s="2"/>
      <c r="ST3" s="2"/>
      <c r="SU3" s="2"/>
      <c r="SV3" s="2"/>
      <c r="SW3" s="2"/>
      <c r="SX3" s="2"/>
      <c r="SY3" s="2"/>
      <c r="SZ3" s="2"/>
      <c r="TA3" s="2"/>
      <c r="TB3" s="2"/>
      <c r="TC3" s="2"/>
      <c r="TD3" s="2"/>
      <c r="TE3" s="2"/>
      <c r="TF3" s="2"/>
      <c r="TG3" s="2"/>
      <c r="TH3" s="2"/>
      <c r="TI3" s="2"/>
      <c r="TJ3" s="2"/>
      <c r="TK3" s="2"/>
      <c r="TL3" s="2"/>
      <c r="TM3" s="2"/>
      <c r="TN3" s="2"/>
      <c r="TO3" s="2"/>
      <c r="TP3" s="2"/>
      <c r="TQ3" s="2"/>
      <c r="TR3" s="2"/>
      <c r="TS3" s="2"/>
      <c r="TT3" s="2"/>
      <c r="TU3" s="2"/>
      <c r="TV3" s="2"/>
      <c r="TW3" s="2"/>
      <c r="TX3" s="2"/>
      <c r="TY3" s="2"/>
      <c r="TZ3" s="2"/>
      <c r="UA3" s="2"/>
      <c r="UB3" s="2"/>
      <c r="UC3" s="2"/>
      <c r="UD3" s="2"/>
      <c r="UE3" s="2"/>
      <c r="UF3" s="2"/>
      <c r="UG3" s="2"/>
      <c r="UH3" s="2"/>
      <c r="UI3" s="2"/>
      <c r="UJ3" s="2"/>
      <c r="UK3" s="2"/>
      <c r="UL3" s="2"/>
      <c r="UM3" s="2"/>
      <c r="UN3" s="2"/>
      <c r="UO3" s="2"/>
      <c r="UP3" s="2"/>
      <c r="UQ3" s="2"/>
      <c r="UR3" s="2"/>
      <c r="US3" s="2"/>
      <c r="UT3" s="2"/>
      <c r="UU3" s="2"/>
      <c r="UV3" s="2"/>
      <c r="UW3" s="2"/>
      <c r="UX3" s="2"/>
      <c r="UY3" s="2"/>
      <c r="UZ3" s="2"/>
      <c r="VA3" s="2"/>
      <c r="VB3" s="2"/>
      <c r="VC3" s="2"/>
      <c r="VD3" s="2"/>
      <c r="VE3" s="2"/>
      <c r="VF3" s="2"/>
      <c r="VG3" s="2"/>
      <c r="VH3" s="2"/>
      <c r="VI3" s="2"/>
      <c r="VJ3" s="2"/>
      <c r="VK3" s="2"/>
      <c r="VL3" s="2"/>
      <c r="VM3" s="2"/>
      <c r="VN3" s="2"/>
      <c r="VO3" s="2"/>
      <c r="VP3" s="2"/>
      <c r="VQ3" s="2"/>
      <c r="VR3" s="2"/>
      <c r="VS3" s="2"/>
      <c r="VT3" s="2"/>
      <c r="VU3" s="2"/>
      <c r="VV3" s="2"/>
      <c r="VW3" s="2"/>
      <c r="VX3" s="2"/>
      <c r="VY3" s="2"/>
      <c r="VZ3" s="2"/>
      <c r="WA3" s="2"/>
      <c r="WB3" s="2"/>
      <c r="WC3" s="2"/>
      <c r="WD3" s="2"/>
      <c r="WE3" s="2"/>
      <c r="WF3" s="2"/>
      <c r="WG3" s="2"/>
      <c r="WH3" s="2"/>
      <c r="WI3" s="2"/>
      <c r="WJ3" s="2"/>
      <c r="WK3" s="2"/>
      <c r="WL3" s="2"/>
      <c r="WM3" s="2"/>
      <c r="WN3" s="2"/>
      <c r="WO3" s="2"/>
      <c r="WP3" s="2"/>
      <c r="WQ3" s="2"/>
      <c r="WR3" s="2"/>
      <c r="WS3" s="2"/>
      <c r="WT3" s="2"/>
      <c r="WU3" s="2"/>
      <c r="WV3" s="2"/>
      <c r="WW3" s="2"/>
      <c r="WX3" s="2"/>
      <c r="WY3" s="2"/>
      <c r="WZ3" s="2"/>
      <c r="XA3" s="2"/>
      <c r="XB3" s="2"/>
      <c r="XC3" s="2"/>
      <c r="XD3" s="2"/>
      <c r="XE3" s="2"/>
      <c r="XF3" s="2"/>
      <c r="XG3" s="2"/>
      <c r="XH3" s="2"/>
      <c r="XI3" s="2"/>
      <c r="XJ3" s="2"/>
      <c r="XK3" s="2"/>
      <c r="XL3" s="2"/>
      <c r="XM3" s="2"/>
      <c r="XN3" s="2"/>
      <c r="XO3" s="2"/>
      <c r="XP3" s="2"/>
      <c r="XQ3" s="2"/>
      <c r="XR3" s="2"/>
      <c r="XS3" s="2"/>
      <c r="XT3" s="2"/>
      <c r="XU3" s="2"/>
      <c r="XV3" s="2"/>
      <c r="XW3" s="2"/>
      <c r="XX3" s="2"/>
      <c r="XY3" s="2"/>
      <c r="XZ3" s="2"/>
      <c r="YA3" s="2"/>
      <c r="YB3" s="2"/>
      <c r="YC3" s="2"/>
      <c r="YD3" s="2"/>
      <c r="YE3" s="2"/>
      <c r="YF3" s="2"/>
      <c r="YG3" s="2"/>
      <c r="YH3" s="2"/>
      <c r="YI3" s="2"/>
      <c r="YJ3" s="2"/>
      <c r="YK3" s="2"/>
      <c r="YL3" s="2"/>
      <c r="YM3" s="2"/>
      <c r="YN3" s="2"/>
      <c r="YO3" s="2"/>
      <c r="YP3" s="2"/>
      <c r="YQ3" s="2"/>
      <c r="YR3" s="2"/>
      <c r="YS3" s="2"/>
      <c r="YT3" s="2"/>
      <c r="YU3" s="2"/>
      <c r="YV3" s="2"/>
      <c r="YW3" s="2"/>
      <c r="YX3" s="2"/>
      <c r="YY3" s="2"/>
      <c r="YZ3" s="2"/>
      <c r="ZA3" s="2"/>
      <c r="ZB3" s="2"/>
      <c r="ZC3" s="2"/>
      <c r="ZD3" s="2"/>
      <c r="ZE3" s="2"/>
      <c r="ZF3" s="2"/>
      <c r="ZG3" s="2"/>
      <c r="ZH3" s="2"/>
      <c r="ZI3" s="2"/>
      <c r="ZJ3" s="2"/>
      <c r="ZK3" s="2"/>
      <c r="ZL3" s="2"/>
      <c r="ZM3" s="2"/>
      <c r="ZN3" s="2"/>
      <c r="ZO3" s="2"/>
      <c r="ZP3" s="2"/>
      <c r="ZQ3" s="2"/>
      <c r="ZR3" s="2"/>
      <c r="ZS3" s="2"/>
      <c r="ZT3" s="2"/>
      <c r="ZU3" s="2"/>
      <c r="ZV3" s="2"/>
      <c r="ZW3" s="2"/>
      <c r="ZX3" s="2"/>
      <c r="ZY3" s="2"/>
      <c r="ZZ3" s="2"/>
      <c r="AAA3" s="2"/>
      <c r="AAB3" s="2"/>
      <c r="AAC3" s="2"/>
      <c r="AAD3" s="2"/>
      <c r="AAE3" s="2"/>
      <c r="AAF3" s="2"/>
      <c r="AAG3" s="2"/>
      <c r="AAH3" s="2"/>
      <c r="AAI3" s="2"/>
      <c r="AAJ3" s="2"/>
      <c r="AAK3" s="2"/>
      <c r="AAL3" s="2"/>
      <c r="AAM3" s="2"/>
      <c r="AAN3" s="2"/>
      <c r="AAO3" s="2"/>
      <c r="AAP3" s="2"/>
      <c r="AAQ3" s="2"/>
      <c r="AAR3" s="2"/>
      <c r="AAS3" s="2"/>
      <c r="AAT3" s="2"/>
      <c r="AAU3" s="2"/>
      <c r="AAV3" s="2"/>
      <c r="AAW3" s="2"/>
      <c r="AAX3" s="2"/>
      <c r="AAY3" s="2"/>
      <c r="AAZ3" s="2"/>
      <c r="ABA3" s="2"/>
      <c r="ABB3" s="2"/>
      <c r="ABC3" s="2"/>
      <c r="ABD3" s="2"/>
      <c r="ABE3" s="2"/>
      <c r="ABF3" s="2"/>
      <c r="ABG3" s="2"/>
      <c r="ABH3" s="2"/>
      <c r="ABI3" s="2"/>
      <c r="ABJ3" s="2"/>
      <c r="ABK3" s="2"/>
      <c r="ABL3" s="2"/>
      <c r="ABM3" s="2"/>
      <c r="ABN3" s="2"/>
      <c r="ABO3" s="2"/>
      <c r="ABP3" s="2"/>
      <c r="ABQ3" s="2"/>
      <c r="ABR3" s="2"/>
      <c r="ABS3" s="2"/>
      <c r="ABT3" s="2"/>
      <c r="ABU3" s="2"/>
      <c r="ABV3" s="2"/>
      <c r="ABW3" s="2"/>
      <c r="ABX3" s="2"/>
      <c r="ABY3" s="2"/>
      <c r="ABZ3" s="2"/>
      <c r="ACA3" s="2"/>
      <c r="ACB3" s="2"/>
      <c r="ACC3" s="2"/>
      <c r="ACD3" s="2"/>
      <c r="ACE3" s="2"/>
      <c r="ACF3" s="2"/>
      <c r="ACG3" s="2"/>
    </row>
    <row r="4" spans="1:761" x14ac:dyDescent="0.25">
      <c r="A4" s="4"/>
      <c r="B4" s="13" t="b">
        <f>IFERROR(IF(AND(VLOOKUP(B6,$NW$21:$NX$35,2,0)="Yes",NOT(ISNUMBER(VLOOKUP(DATE($A$2,$A$3+$A$1-1,B5),HolidayList[Date],1,0)))),TRUE,FALSE),FALSE)</f>
        <v>0</v>
      </c>
      <c r="C4" s="13" t="b">
        <f>IFERROR(IF(AND(VLOOKUP(C6,$NW$21:$NX$35,2,0)="Yes",NOT(ISNUMBER(VLOOKUP(DATE($A$2,$A$3+$A$1-1,C5),HolidayList[Date],1,0)))),TRUE,FALSE),FALSE)</f>
        <v>0</v>
      </c>
      <c r="D4" s="13" t="b">
        <f>IFERROR(IF(AND(VLOOKUP(D6,$NW$21:$NX$35,2,0)="Yes",NOT(ISNUMBER(VLOOKUP(DATE($A$2,$A$3+$A$1-1,D5),HolidayList[Date],1,0)))),TRUE,FALSE),FALSE)</f>
        <v>0</v>
      </c>
      <c r="E4" s="13" t="b">
        <f>IFERROR(IF(AND(VLOOKUP(E6,$NW$21:$NX$35,2,0)="Yes",NOT(ISNUMBER(VLOOKUP(DATE($A$2,$A$3+$A$1-1,E5),HolidayList[Date],1,0)))),TRUE,FALSE),FALSE)</f>
        <v>0</v>
      </c>
      <c r="F4" s="13" t="b">
        <f>IFERROR(IF(AND(VLOOKUP(F6,$NW$21:$NX$35,2,0)="Yes",NOT(ISNUMBER(VLOOKUP(DATE($A$2,$A$3+$A$1-1,F5),HolidayList[Date],1,0)))),TRUE,FALSE),FALSE)</f>
        <v>0</v>
      </c>
      <c r="G4" s="13" t="b">
        <f>IFERROR(IF(AND(VLOOKUP(G6,$NW$21:$NX$35,2,0)="Yes",NOT(ISNUMBER(VLOOKUP(DATE($A$2,$A$3+$A$1-1,G5),HolidayList[Date],1,0)))),TRUE,FALSE),FALSE)</f>
        <v>0</v>
      </c>
      <c r="H4" s="13" t="b">
        <f>IFERROR(IF(AND(VLOOKUP(H6,$NW$21:$NX$35,2,0)="Yes",NOT(ISNUMBER(VLOOKUP(DATE($A$2,$A$3+$A$1-1,H5),HolidayList[Date],1,0)))),TRUE,FALSE),FALSE)</f>
        <v>0</v>
      </c>
      <c r="I4" s="13" t="b">
        <f>IFERROR(IF(AND(VLOOKUP(I6,$NW$21:$NX$35,2,0)="Yes",NOT(ISNUMBER(VLOOKUP(DATE($A$2,$A$3+$A$1-1,I5),HolidayList[Date],1,0)))),TRUE,FALSE),FALSE)</f>
        <v>0</v>
      </c>
      <c r="J4" s="13" t="b">
        <f>IFERROR(IF(AND(VLOOKUP(J6,$NW$21:$NX$35,2,0)="Yes",NOT(ISNUMBER(VLOOKUP(DATE($A$2,$A$3+$A$1-1,J5),HolidayList[Date],1,0)))),TRUE,FALSE),FALSE)</f>
        <v>0</v>
      </c>
      <c r="K4" s="13" t="b">
        <f>IFERROR(IF(AND(VLOOKUP(K6,$NW$21:$NX$35,2,0)="Yes",NOT(ISNUMBER(VLOOKUP(DATE($A$2,$A$3+$A$1-1,K5),HolidayList[Date],1,0)))),TRUE,FALSE),FALSE)</f>
        <v>0</v>
      </c>
      <c r="L4" s="13" t="b">
        <f>IFERROR(IF(AND(VLOOKUP(L6,$NW$21:$NX$35,2,0)="Yes",NOT(ISNUMBER(VLOOKUP(DATE($A$2,$A$3+$A$1-1,L5),HolidayList[Date],1,0)))),TRUE,FALSE),FALSE)</f>
        <v>0</v>
      </c>
      <c r="M4" s="13" t="b">
        <f>IFERROR(IF(AND(VLOOKUP(M6,$NW$21:$NX$35,2,0)="Yes",NOT(ISNUMBER(VLOOKUP(DATE($A$2,$A$3+$A$1-1,M5),HolidayList[Date],1,0)))),TRUE,FALSE),FALSE)</f>
        <v>0</v>
      </c>
      <c r="N4" s="13" t="b">
        <f>IFERROR(IF(AND(VLOOKUP(N6,$NW$21:$NX$35,2,0)="Yes",NOT(ISNUMBER(VLOOKUP(DATE($A$2,$A$3+$A$1-1,N5),HolidayList[Date],1,0)))),TRUE,FALSE),FALSE)</f>
        <v>0</v>
      </c>
      <c r="O4" s="13" t="b">
        <f>IFERROR(IF(AND(VLOOKUP(O6,$NW$21:$NX$35,2,0)="Yes",NOT(ISNUMBER(VLOOKUP(DATE($A$2,$A$3+$A$1-1,O5),HolidayList[Date],1,0)))),TRUE,FALSE),FALSE)</f>
        <v>0</v>
      </c>
      <c r="P4" s="13" t="b">
        <f>IFERROR(IF(AND(VLOOKUP(P6,$NW$21:$NX$35,2,0)="Yes",NOT(ISNUMBER(VLOOKUP(DATE($A$2,$A$3+$A$1-1,P5),HolidayList[Date],1,0)))),TRUE,FALSE),FALSE)</f>
        <v>0</v>
      </c>
      <c r="Q4" s="13" t="b">
        <f>IFERROR(IF(AND(VLOOKUP(Q6,$NW$21:$NX$35,2,0)="Yes",NOT(ISNUMBER(VLOOKUP(DATE($A$2,$A$3+$A$1-1,Q5),HolidayList[Date],1,0)))),TRUE,FALSE),FALSE)</f>
        <v>0</v>
      </c>
      <c r="R4" s="13" t="b">
        <f>IFERROR(IF(AND(VLOOKUP(R6,$NW$21:$NX$35,2,0)="Yes",NOT(ISNUMBER(VLOOKUP(DATE($A$2,$A$3+$A$1-1,R5),HolidayList[Date],1,0)))),TRUE,FALSE),FALSE)</f>
        <v>0</v>
      </c>
      <c r="S4" s="13" t="b">
        <f>IFERROR(IF(AND(VLOOKUP(S6,$NW$21:$NX$35,2,0)="Yes",NOT(ISNUMBER(VLOOKUP(DATE($A$2,$A$3+$A$1-1,S5),HolidayList[Date],1,0)))),TRUE,FALSE),FALSE)</f>
        <v>0</v>
      </c>
      <c r="T4" s="13" t="b">
        <f>IFERROR(IF(AND(VLOOKUP(T6,$NW$21:$NX$35,2,0)="Yes",NOT(ISNUMBER(VLOOKUP(DATE($A$2,$A$3+$A$1-1,T5),HolidayList[Date],1,0)))),TRUE,FALSE),FALSE)</f>
        <v>0</v>
      </c>
      <c r="U4" s="13" t="b">
        <f>IFERROR(IF(AND(VLOOKUP(U6,$NW$21:$NX$35,2,0)="Yes",NOT(ISNUMBER(VLOOKUP(DATE($A$2,$A$3+$A$1-1,U5),HolidayList[Date],1,0)))),TRUE,FALSE),FALSE)</f>
        <v>0</v>
      </c>
      <c r="V4" s="13" t="b">
        <f>IFERROR(IF(AND(VLOOKUP(V6,$NW$21:$NX$35,2,0)="Yes",NOT(ISNUMBER(VLOOKUP(DATE($A$2,$A$3+$A$1-1,V5),HolidayList[Date],1,0)))),TRUE,FALSE),FALSE)</f>
        <v>0</v>
      </c>
      <c r="W4" s="13" t="b">
        <f>IFERROR(IF(AND(VLOOKUP(W6,$NW$21:$NX$35,2,0)="Yes",NOT(ISNUMBER(VLOOKUP(DATE($A$2,$A$3+$A$1-1,W5),HolidayList[Date],1,0)))),TRUE,FALSE),FALSE)</f>
        <v>0</v>
      </c>
      <c r="X4" s="13" t="b">
        <f>IFERROR(IF(AND(VLOOKUP(X6,$NW$21:$NX$35,2,0)="Yes",NOT(ISNUMBER(VLOOKUP(DATE($A$2,$A$3+$A$1-1,X5),HolidayList[Date],1,0)))),TRUE,FALSE),FALSE)</f>
        <v>0</v>
      </c>
      <c r="Y4" s="13" t="b">
        <f>IFERROR(IF(AND(VLOOKUP(Y6,$NW$21:$NX$35,2,0)="Yes",NOT(ISNUMBER(VLOOKUP(DATE($A$2,$A$3+$A$1-1,Y5),HolidayList[Date],1,0)))),TRUE,FALSE),FALSE)</f>
        <v>0</v>
      </c>
      <c r="Z4" s="13" t="b">
        <f>IFERROR(IF(AND(VLOOKUP(Z6,$NW$21:$NX$35,2,0)="Yes",NOT(ISNUMBER(VLOOKUP(DATE($A$2,$A$3+$A$1-1,Z5),HolidayList[Date],1,0)))),TRUE,FALSE),FALSE)</f>
        <v>0</v>
      </c>
      <c r="AA4" s="13" t="b">
        <f>IFERROR(IF(AND(VLOOKUP(AA6,$NW$21:$NX$35,2,0)="Yes",NOT(ISNUMBER(VLOOKUP(DATE($A$2,$A$3+$A$1-1,AA5),HolidayList[Date],1,0)))),TRUE,FALSE),FALSE)</f>
        <v>0</v>
      </c>
      <c r="AB4" s="13" t="b">
        <f>IFERROR(IF(AND(VLOOKUP(AB6,$NW$21:$NX$35,2,0)="Yes",NOT(ISNUMBER(VLOOKUP(DATE($A$2,$A$3+$A$1-1,AB5),HolidayList[Date],1,0)))),TRUE,FALSE),FALSE)</f>
        <v>0</v>
      </c>
      <c r="AC4" s="13" t="b">
        <f>IFERROR(IF(AND(VLOOKUP(AC6,$NW$21:$NX$35,2,0)="Yes",NOT(ISNUMBER(VLOOKUP(DATE($A$2,$A$3+$A$1-1,AC5),HolidayList[Date],1,0)))),TRUE,FALSE),FALSE)</f>
        <v>0</v>
      </c>
      <c r="AD4" s="13" t="b">
        <f>IFERROR(IF(AND(VLOOKUP(AD6,$NW$21:$NX$35,2,0)="Yes",NOT(ISNUMBER(VLOOKUP(DATE($A$2,$A$3+$A$1-1,AD5),HolidayList[Date],1,0)))),TRUE,FALSE),FALSE)</f>
        <v>0</v>
      </c>
      <c r="AE4" s="13" t="b">
        <f>IFERROR(IF(AND(VLOOKUP(AE6,$NW$21:$NX$35,2,0)="Yes",NOT(ISNUMBER(VLOOKUP(DATE($A$2,$A$3+$A$1-1,AE5),HolidayList[Date],1,0)))),TRUE,FALSE),FALSE)</f>
        <v>0</v>
      </c>
      <c r="AF4" s="13" t="b">
        <f>IFERROR(IF(AND(VLOOKUP(AF6,$NW$21:$NX$35,2,0)="Yes",NOT(ISNUMBER(VLOOKUP(DATE($A$2,$A$3+$A$1-1,AF5),HolidayList[Date],1,0)))),TRUE,FALSE),FALSE)</f>
        <v>0</v>
      </c>
      <c r="AG4" s="13" t="b">
        <f>IFERROR(IF(AND(VLOOKUP(AG6,$NW$21:$NX$35,2,0)="Yes",NOT(ISNUMBER(VLOOKUP(DATE($A$2,$A$3+$A$1-1,AG5),HolidayList[Date],1,0)))),TRUE,FALSE),FALSE)</f>
        <v>0</v>
      </c>
      <c r="AH4" s="13" t="b">
        <f>IFERROR(IF(AND(VLOOKUP(AH6,$NW$21:$NX$35,2,0)="Yes",NOT(ISNUMBER(VLOOKUP(DATE($A$2,$A$3+$A$1-1,AH5),HolidayList[Date],1,0)))),TRUE,FALSE),FALSE)</f>
        <v>0</v>
      </c>
      <c r="AI4" s="13" t="b">
        <f>IFERROR(IF(AND(VLOOKUP(AI6,$NW$21:$NX$35,2,0)="Yes",NOT(ISNUMBER(VLOOKUP(DATE($A$2,$A$3+$A$1-1,AI5),HolidayList[Date],1,0)))),TRUE,FALSE),FALSE)</f>
        <v>0</v>
      </c>
      <c r="AJ4" s="13" t="b">
        <f>IFERROR(IF(AND(VLOOKUP(AJ6,$NW$21:$NX$35,2,0)="Yes",NOT(ISNUMBER(VLOOKUP(DATE($A$2,$A$3+$A$1-1,AJ5),HolidayList[Date],1,0)))),TRUE,FALSE),FALSE)</f>
        <v>0</v>
      </c>
      <c r="AK4" s="13" t="b">
        <f>IFERROR(IF(AND(VLOOKUP(AK6,$NW$21:$NX$35,2,0)="Yes",NOT(ISNUMBER(VLOOKUP(DATE($A$2,$A$3+$A$1-1,AK5),HolidayList[Date],1,0)))),TRUE,FALSE),FALSE)</f>
        <v>0</v>
      </c>
      <c r="AL4" s="13" t="b">
        <f>IFERROR(IF(AND(VLOOKUP(AL6,$NW$21:$NX$35,2,0)="Yes",NOT(ISNUMBER(VLOOKUP(DATE($A$2,$A$3+$A$1-1,AL5),HolidayList[Date],1,0)))),TRUE,FALSE),FALSE)</f>
        <v>0</v>
      </c>
      <c r="AM4" s="13" t="b">
        <f>IFERROR(IF(AND(VLOOKUP(AM6,$NW$21:$NX$35,2,0)="Yes",NOT(ISNUMBER(VLOOKUP(DATE($A$2,$A$3+$A$1-1,AM5),HolidayList[Date],1,0)))),TRUE,FALSE),FALSE)</f>
        <v>0</v>
      </c>
      <c r="AN4" s="13" t="b">
        <f>IFERROR(IF(AND(VLOOKUP(AN6,$NW$21:$NX$35,2,0)="Yes",NOT(ISNUMBER(VLOOKUP(DATE($A$2,$A$3+$A$1-1,AN5),HolidayList[Date],1,0)))),TRUE,FALSE),FALSE)</f>
        <v>0</v>
      </c>
      <c r="AO4" s="13" t="b">
        <f>IFERROR(IF(AND(VLOOKUP(AO6,$NW$21:$NX$35,2,0)="Yes",NOT(ISNUMBER(VLOOKUP(DATE($A$2,$A$3+$A$1-1,AO5),HolidayList[Date],1,0)))),TRUE,FALSE),FALSE)</f>
        <v>0</v>
      </c>
      <c r="AP4" s="13" t="b">
        <f>IFERROR(IF(AND(VLOOKUP(AP6,$NW$21:$NX$35,2,0)="Yes",NOT(ISNUMBER(VLOOKUP(DATE($A$2,$A$3+$A$1-1,AP5),HolidayList[Date],1,0)))),TRUE,FALSE),FALSE)</f>
        <v>0</v>
      </c>
      <c r="AQ4" s="13" t="b">
        <f>IFERROR(IF(AND(VLOOKUP(AQ6,$NW$21:$NX$35,2,0)="Yes",NOT(ISNUMBER(VLOOKUP(DATE($A$2,$A$3+$A$1-1,AQ5),HolidayList[Date],1,0)))),TRUE,FALSE),FALSE)</f>
        <v>0</v>
      </c>
      <c r="AR4" s="13" t="b">
        <f>IFERROR(IF(AND(VLOOKUP(AR6,$NW$21:$NX$35,2,0)="Yes",NOT(ISNUMBER(VLOOKUP(DATE($A$2,$A$3+$A$1-1,AR5),HolidayList[Date],1,0)))),TRUE,FALSE),FALSE)</f>
        <v>0</v>
      </c>
      <c r="AS4" s="13" t="b">
        <f>IFERROR(IF(AND(VLOOKUP(AS6,$NW$21:$NX$35,2,0)="Yes",NOT(ISNUMBER(VLOOKUP(DATE($A$2,$A$3+$A$1-1,AS5),HolidayList[Date],1,0)))),TRUE,FALSE),FALSE)</f>
        <v>0</v>
      </c>
      <c r="AT4" s="13" t="b">
        <f>IFERROR(IF(AND(VLOOKUP(AT6,$NW$21:$NX$35,2,0)="Yes",NOT(ISNUMBER(VLOOKUP(DATE($A$2,$A$3+$A$1-1,AT5),HolidayList[Date],1,0)))),TRUE,FALSE),FALSE)</f>
        <v>0</v>
      </c>
      <c r="AU4" s="13" t="b">
        <f>IFERROR(IF(AND(VLOOKUP(AU6,$NW$21:$NX$35,2,0)="Yes",NOT(ISNUMBER(VLOOKUP(DATE($A$2,$A$3+$A$1-1,AU5),HolidayList[Date],1,0)))),TRUE,FALSE),FALSE)</f>
        <v>0</v>
      </c>
      <c r="AV4" s="13" t="b">
        <f>IFERROR(IF(AND(VLOOKUP(AV6,$NW$21:$NX$35,2,0)="Yes",NOT(ISNUMBER(VLOOKUP(DATE($A$2,$A$3+$A$1-1,AV5),HolidayList[Date],1,0)))),TRUE,FALSE),FALSE)</f>
        <v>0</v>
      </c>
      <c r="AW4" s="13" t="b">
        <f>IFERROR(IF(AND(VLOOKUP(AW6,$NW$21:$NX$35,2,0)="Yes",NOT(ISNUMBER(VLOOKUP(DATE($A$2,$A$3+$A$1-1,AW5),HolidayList[Date],1,0)))),TRUE,FALSE),FALSE)</f>
        <v>0</v>
      </c>
      <c r="AX4" s="13" t="b">
        <f>IFERROR(IF(AND(VLOOKUP(AX6,$NW$21:$NX$35,2,0)="Yes",NOT(ISNUMBER(VLOOKUP(DATE($A$2,$A$3+$A$1-1,AX5),HolidayList[Date],1,0)))),TRUE,FALSE),FALSE)</f>
        <v>0</v>
      </c>
      <c r="AY4" s="13" t="b">
        <f>IFERROR(IF(AND(VLOOKUP(AY6,$NW$21:$NX$35,2,0)="Yes",NOT(ISNUMBER(VLOOKUP(DATE($A$2,$A$3+$A$1-1,AY5),HolidayList[Date],1,0)))),TRUE,FALSE),FALSE)</f>
        <v>0</v>
      </c>
      <c r="AZ4" s="13" t="b">
        <f>IFERROR(IF(AND(VLOOKUP(AZ6,$NW$21:$NX$35,2,0)="Yes",NOT(ISNUMBER(VLOOKUP(DATE($A$2,$A$3+$A$1-1,AZ5),HolidayList[Date],1,0)))),TRUE,FALSE),FALSE)</f>
        <v>0</v>
      </c>
      <c r="BA4" s="13" t="b">
        <f>IFERROR(IF(AND(VLOOKUP(BA6,$NW$21:$NX$35,2,0)="Yes",NOT(ISNUMBER(VLOOKUP(DATE($A$2,$A$3+$A$1-1,BA5),HolidayList[Date],1,0)))),TRUE,FALSE),FALSE)</f>
        <v>0</v>
      </c>
      <c r="BB4" s="13" t="b">
        <f>IFERROR(IF(AND(VLOOKUP(BB6,$NW$21:$NX$35,2,0)="Yes",NOT(ISNUMBER(VLOOKUP(DATE($A$2,$A$3+$A$1-1,BB5),HolidayList[Date],1,0)))),TRUE,FALSE),FALSE)</f>
        <v>0</v>
      </c>
      <c r="BC4" s="13" t="b">
        <f>IFERROR(IF(AND(VLOOKUP(BC6,$NW$21:$NX$35,2,0)="Yes",NOT(ISNUMBER(VLOOKUP(DATE($A$2,$A$3+$A$1-1,BC5),HolidayList[Date],1,0)))),TRUE,FALSE),FALSE)</f>
        <v>0</v>
      </c>
      <c r="BD4" s="13" t="b">
        <f>IFERROR(IF(AND(VLOOKUP(BD6,$NW$21:$NX$35,2,0)="Yes",NOT(ISNUMBER(VLOOKUP(DATE($A$2,$A$3+$A$1-1,BD5),HolidayList[Date],1,0)))),TRUE,FALSE),FALSE)</f>
        <v>0</v>
      </c>
      <c r="BE4" s="13" t="b">
        <f>IFERROR(IF(AND(VLOOKUP(BE6,$NW$21:$NX$35,2,0)="Yes",NOT(ISNUMBER(VLOOKUP(DATE($A$2,$A$3+$A$1-1,BE5),HolidayList[Date],1,0)))),TRUE,FALSE),FALSE)</f>
        <v>0</v>
      </c>
      <c r="BF4" s="13" t="b">
        <f>IFERROR(IF(AND(VLOOKUP(BF6,$NW$21:$NX$35,2,0)="Yes",NOT(ISNUMBER(VLOOKUP(DATE($A$2,$A$3+$A$1-1,BF5),HolidayList[Date],1,0)))),TRUE,FALSE),FALSE)</f>
        <v>0</v>
      </c>
      <c r="BG4" s="13" t="b">
        <f>IFERROR(IF(AND(VLOOKUP(BG6,$NW$21:$NX$35,2,0)="Yes",NOT(ISNUMBER(VLOOKUP(DATE($A$2,$A$3+$A$1-1,BG5),HolidayList[Date],1,0)))),TRUE,FALSE),FALSE)</f>
        <v>0</v>
      </c>
      <c r="BH4" s="13" t="b">
        <f>IFERROR(IF(AND(VLOOKUP(BH6,$NW$21:$NX$35,2,0)="Yes",NOT(ISNUMBER(VLOOKUP(DATE($A$2,$A$3+$A$1-1,BH5),HolidayList[Date],1,0)))),TRUE,FALSE),FALSE)</f>
        <v>0</v>
      </c>
      <c r="BI4" s="13" t="b">
        <f>IFERROR(IF(AND(VLOOKUP(BI6,$NW$21:$NX$35,2,0)="Yes",NOT(ISNUMBER(VLOOKUP(DATE($A$2,$A$3+$A$1-1,BI5),HolidayList[Date],1,0)))),TRUE,FALSE),FALSE)</f>
        <v>0</v>
      </c>
      <c r="BJ4" s="13" t="b">
        <f>IFERROR(IF(AND(VLOOKUP(BJ6,$NW$21:$NX$35,2,0)="Yes",NOT(ISNUMBER(VLOOKUP(DATE($A$2,$A$3+$A$1-1,BJ5),HolidayList[Date],1,0)))),TRUE,FALSE),FALSE)</f>
        <v>0</v>
      </c>
      <c r="BK4" s="13" t="b">
        <f>IFERROR(IF(AND(VLOOKUP(BK6,$NW$21:$NX$35,2,0)="Yes",NOT(ISNUMBER(VLOOKUP(DATE($A$2,$A$3+$A$1-1,BK5),HolidayList[Date],1,0)))),TRUE,FALSE),FALSE)</f>
        <v>0</v>
      </c>
      <c r="BL4" s="13" t="b">
        <f>IFERROR(IF(AND(VLOOKUP(BL6,$NW$21:$NX$35,2,0)="Yes",NOT(ISNUMBER(VLOOKUP(DATE($A$2,$A$3+$A$1-1,BL5),HolidayList[Date],1,0)))),TRUE,FALSE),FALSE)</f>
        <v>0</v>
      </c>
      <c r="BM4" s="13" t="b">
        <f>IFERROR(IF(AND(VLOOKUP(BM6,$NW$21:$NX$35,2,0)="Yes",NOT(ISNUMBER(VLOOKUP(DATE($A$2,$A$3+$A$1-1,BM5),HolidayList[Date],1,0)))),TRUE,FALSE),FALSE)</f>
        <v>0</v>
      </c>
      <c r="BN4" s="13" t="b">
        <f>IFERROR(IF(AND(VLOOKUP(BN6,$NW$21:$NX$35,2,0)="Yes",NOT(ISNUMBER(VLOOKUP(DATE($A$2,$A$3+$A$1-1,BN5),HolidayList[Date],1,0)))),TRUE,FALSE),FALSE)</f>
        <v>0</v>
      </c>
      <c r="BO4" s="13" t="b">
        <f>IFERROR(IF(AND(VLOOKUP(BO6,$NW$21:$NX$35,2,0)="Yes",NOT(ISNUMBER(VLOOKUP(DATE($A$2,$A$3+$A$1-1,BO5),HolidayList[Date],1,0)))),TRUE,FALSE),FALSE)</f>
        <v>0</v>
      </c>
      <c r="BP4" s="13" t="b">
        <f>IFERROR(IF(AND(VLOOKUP(BP6,$NW$21:$NX$35,2,0)="Yes",NOT(ISNUMBER(VLOOKUP(DATE($A$2,$A$3+$A$1-1,BP5),HolidayList[Date],1,0)))),TRUE,FALSE),FALSE)</f>
        <v>0</v>
      </c>
      <c r="BQ4" s="13" t="b">
        <f>IFERROR(IF(AND(VLOOKUP(BQ6,$NW$21:$NX$35,2,0)="Yes",NOT(ISNUMBER(VLOOKUP(DATE($A$2,$A$3+$A$1-1,BQ5),HolidayList[Date],1,0)))),TRUE,FALSE),FALSE)</f>
        <v>0</v>
      </c>
      <c r="BR4" s="13" t="b">
        <f>IFERROR(IF(AND(VLOOKUP(BR6,$NW$21:$NX$35,2,0)="Yes",NOT(ISNUMBER(VLOOKUP(DATE($A$2,$A$3+$A$1-1,BR5),HolidayList[Date],1,0)))),TRUE,FALSE),FALSE)</f>
        <v>0</v>
      </c>
      <c r="BS4" s="13" t="b">
        <f>IFERROR(IF(AND(VLOOKUP(BS6,$NW$21:$NX$35,2,0)="Yes",NOT(ISNUMBER(VLOOKUP(DATE($A$2,$A$3+$A$1-1,BS5),HolidayList[Date],1,0)))),TRUE,FALSE),FALSE)</f>
        <v>0</v>
      </c>
      <c r="BT4" s="13" t="b">
        <f>IFERROR(IF(AND(VLOOKUP(BT6,$NW$21:$NX$35,2,0)="Yes",NOT(ISNUMBER(VLOOKUP(DATE($A$2,$A$3+$A$1-1,BT5),HolidayList[Date],1,0)))),TRUE,FALSE),FALSE)</f>
        <v>0</v>
      </c>
      <c r="BU4" s="13" t="b">
        <f>IFERROR(IF(AND(VLOOKUP(BU6,$NW$21:$NX$35,2,0)="Yes",NOT(ISNUMBER(VLOOKUP(DATE($A$2,$A$3+$A$1-1,BU5),HolidayList[Date],1,0)))),TRUE,FALSE),FALSE)</f>
        <v>0</v>
      </c>
      <c r="BV4" s="13" t="b">
        <f>IFERROR(IF(AND(VLOOKUP(BV6,$NW$21:$NX$35,2,0)="Yes",NOT(ISNUMBER(VLOOKUP(DATE($A$2,$A$3+$A$1-1,BV5),HolidayList[Date],1,0)))),TRUE,FALSE),FALSE)</f>
        <v>0</v>
      </c>
      <c r="BW4" s="13" t="b">
        <f>IFERROR(IF(AND(VLOOKUP(BW6,$NW$21:$NX$35,2,0)="Yes",NOT(ISNUMBER(VLOOKUP(DATE($A$2,$A$3+$A$1-1,BW5),HolidayList[Date],1,0)))),TRUE,FALSE),FALSE)</f>
        <v>0</v>
      </c>
      <c r="BX4" s="13" t="b">
        <f>IFERROR(IF(AND(VLOOKUP(BX6,$NW$21:$NX$35,2,0)="Yes",NOT(ISNUMBER(VLOOKUP(DATE($A$2,$A$3+$A$1-1,BX5),HolidayList[Date],1,0)))),TRUE,FALSE),FALSE)</f>
        <v>0</v>
      </c>
      <c r="BY4" s="13" t="b">
        <f>IFERROR(IF(AND(VLOOKUP(BY6,$NW$21:$NX$35,2,0)="Yes",NOT(ISNUMBER(VLOOKUP(DATE($A$2,$A$3+$A$1-1,BY5),HolidayList[Date],1,0)))),TRUE,FALSE),FALSE)</f>
        <v>0</v>
      </c>
      <c r="BZ4" s="13" t="b">
        <f>IFERROR(IF(AND(VLOOKUP(BZ6,$NW$21:$NX$35,2,0)="Yes",NOT(ISNUMBER(VLOOKUP(DATE($A$2,$A$3+$A$1-1,BZ5),HolidayList[Date],1,0)))),TRUE,FALSE),FALSE)</f>
        <v>0</v>
      </c>
      <c r="CA4" s="13" t="b">
        <f>IFERROR(IF(AND(VLOOKUP(CA6,$NW$21:$NX$35,2,0)="Yes",NOT(ISNUMBER(VLOOKUP(DATE($A$2,$A$3+$A$1-1,CA5),HolidayList[Date],1,0)))),TRUE,FALSE),FALSE)</f>
        <v>0</v>
      </c>
      <c r="CB4" s="13" t="b">
        <f>IFERROR(IF(AND(VLOOKUP(CB6,$NW$21:$NX$35,2,0)="Yes",NOT(ISNUMBER(VLOOKUP(DATE($A$2,$A$3+$A$1-1,CB5),HolidayList[Date],1,0)))),TRUE,FALSE),FALSE)</f>
        <v>0</v>
      </c>
      <c r="CC4" s="13" t="b">
        <f>IFERROR(IF(AND(VLOOKUP(CC6,$NW$21:$NX$35,2,0)="Yes",NOT(ISNUMBER(VLOOKUP(DATE($A$2,$A$3+$A$1-1,CC5),HolidayList[Date],1,0)))),TRUE,FALSE),FALSE)</f>
        <v>0</v>
      </c>
      <c r="CD4" s="13" t="b">
        <f>IFERROR(IF(AND(VLOOKUP(CD6,$NW$21:$NX$35,2,0)="Yes",NOT(ISNUMBER(VLOOKUP(DATE($A$2,$A$3+$A$1-1,CD5),HolidayList[Date],1,0)))),TRUE,FALSE),FALSE)</f>
        <v>0</v>
      </c>
      <c r="CE4" s="13" t="b">
        <f>IFERROR(IF(AND(VLOOKUP(CE6,$NW$21:$NX$35,2,0)="Yes",NOT(ISNUMBER(VLOOKUP(DATE($A$2,$A$3+$A$1-1,CE5),HolidayList[Date],1,0)))),TRUE,FALSE),FALSE)</f>
        <v>0</v>
      </c>
      <c r="CF4" s="13" t="b">
        <f>IFERROR(IF(AND(VLOOKUP(CF6,$NW$21:$NX$35,2,0)="Yes",NOT(ISNUMBER(VLOOKUP(DATE($A$2,$A$3+$A$1-1,CF5),HolidayList[Date],1,0)))),TRUE,FALSE),FALSE)</f>
        <v>0</v>
      </c>
      <c r="CG4" s="13" t="b">
        <f>IFERROR(IF(AND(VLOOKUP(CG6,$NW$21:$NX$35,2,0)="Yes",NOT(ISNUMBER(VLOOKUP(DATE($A$2,$A$3+$A$1-1,CG5),HolidayList[Date],1,0)))),TRUE,FALSE),FALSE)</f>
        <v>0</v>
      </c>
      <c r="CH4" s="13" t="b">
        <f>IFERROR(IF(AND(VLOOKUP(CH6,$NW$21:$NX$35,2,0)="Yes",NOT(ISNUMBER(VLOOKUP(DATE($A$2,$A$3+$A$1-1,CH5),HolidayList[Date],1,0)))),TRUE,FALSE),FALSE)</f>
        <v>0</v>
      </c>
      <c r="CI4" s="13" t="b">
        <f>IFERROR(IF(AND(VLOOKUP(CI6,$NW$21:$NX$35,2,0)="Yes",NOT(ISNUMBER(VLOOKUP(DATE($A$2,$A$3+$A$1-1,CI5),HolidayList[Date],1,0)))),TRUE,FALSE),FALSE)</f>
        <v>0</v>
      </c>
      <c r="CJ4" s="13" t="b">
        <f>IFERROR(IF(AND(VLOOKUP(CJ6,$NW$21:$NX$35,2,0)="Yes",NOT(ISNUMBER(VLOOKUP(DATE($A$2,$A$3+$A$1-1,CJ5),HolidayList[Date],1,0)))),TRUE,FALSE),FALSE)</f>
        <v>0</v>
      </c>
      <c r="CK4" s="13" t="b">
        <f>IFERROR(IF(AND(VLOOKUP(CK6,$NW$21:$NX$35,2,0)="Yes",NOT(ISNUMBER(VLOOKUP(DATE($A$2,$A$3+$A$1-1,CK5),HolidayList[Date],1,0)))),TRUE,FALSE),FALSE)</f>
        <v>0</v>
      </c>
      <c r="CL4" s="13" t="b">
        <f>IFERROR(IF(AND(VLOOKUP(CL6,$NW$21:$NX$35,2,0)="Yes",NOT(ISNUMBER(VLOOKUP(DATE($A$2,$A$3+$A$1-1,CL5),HolidayList[Date],1,0)))),TRUE,FALSE),FALSE)</f>
        <v>0</v>
      </c>
      <c r="CM4" s="13" t="b">
        <f>IFERROR(IF(AND(VLOOKUP(CM6,$NW$21:$NX$35,2,0)="Yes",NOT(ISNUMBER(VLOOKUP(DATE($A$2,$A$3+$A$1-1,CM5),HolidayList[Date],1,0)))),TRUE,FALSE),FALSE)</f>
        <v>0</v>
      </c>
      <c r="CN4" s="13" t="b">
        <f>IFERROR(IF(AND(VLOOKUP(CN6,$NW$21:$NX$35,2,0)="Yes",NOT(ISNUMBER(VLOOKUP(DATE($A$2,$A$3+$A$1-1,CN5),HolidayList[Date],1,0)))),TRUE,FALSE),FALSE)</f>
        <v>0</v>
      </c>
      <c r="CO4" s="13" t="b">
        <f>IFERROR(IF(AND(VLOOKUP(CO6,$NW$21:$NX$35,2,0)="Yes",NOT(ISNUMBER(VLOOKUP(DATE($A$2,$A$3+$A$1-1,CO5),HolidayList[Date],1,0)))),TRUE,FALSE),FALSE)</f>
        <v>0</v>
      </c>
      <c r="CP4" s="13" t="b">
        <f>IFERROR(IF(AND(VLOOKUP(CP6,$NW$21:$NX$35,2,0)="Yes",NOT(ISNUMBER(VLOOKUP(DATE($A$2,$A$3+$A$1-1,CP5),HolidayList[Date],1,0)))),TRUE,FALSE),FALSE)</f>
        <v>0</v>
      </c>
      <c r="CQ4" s="13"/>
      <c r="CR4" s="13" t="b">
        <f>IFERROR(IF(AND(VLOOKUP(CR6,$NW$21:$NX$35,2,0)="Yes",NOT(ISNUMBER(VLOOKUP(DATE($A$2,$A$3+$A$1-1,CR5),HolidayList[Date],1,0)))),TRUE,FALSE),FALSE)</f>
        <v>0</v>
      </c>
      <c r="CS4" s="13" t="b">
        <f>IFERROR(IF(AND(VLOOKUP(CS6,$NW$21:$NX$35,2,0)="Yes",NOT(ISNUMBER(VLOOKUP(DATE($A$2,$A$3+$A$1-1,CS5),HolidayList[Date],1,0)))),TRUE,FALSE),FALSE)</f>
        <v>0</v>
      </c>
      <c r="CT4" s="13" t="b">
        <f>IFERROR(IF(AND(VLOOKUP(CT6,$NW$21:$NX$35,2,0)="Yes",NOT(ISNUMBER(VLOOKUP(DATE($A$2,$A$3+$A$1-1,CT5),HolidayList[Date],1,0)))),TRUE,FALSE),FALSE)</f>
        <v>0</v>
      </c>
      <c r="CU4" s="13" t="b">
        <f>IFERROR(IF(AND(VLOOKUP(CU6,$NW$21:$NX$35,2,0)="Yes",NOT(ISNUMBER(VLOOKUP(DATE($A$2,$A$3+$A$1-1,CU5),HolidayList[Date],1,0)))),TRUE,FALSE),FALSE)</f>
        <v>0</v>
      </c>
      <c r="CV4" s="13" t="b">
        <f>IFERROR(IF(AND(VLOOKUP(CV6,$NW$21:$NX$35,2,0)="Yes",NOT(ISNUMBER(VLOOKUP(DATE($A$2,$A$3+$A$1-1,CV5),HolidayList[Date],1,0)))),TRUE,FALSE),FALSE)</f>
        <v>0</v>
      </c>
      <c r="CW4" s="13" t="b">
        <f>IFERROR(IF(AND(VLOOKUP(CW6,$NW$21:$NX$35,2,0)="Yes",NOT(ISNUMBER(VLOOKUP(DATE($A$2,$A$3+$A$1-1,CW5),HolidayList[Date],1,0)))),TRUE,FALSE),FALSE)</f>
        <v>0</v>
      </c>
      <c r="CX4" s="13" t="b">
        <f>IFERROR(IF(AND(VLOOKUP(CX6,$NW$21:$NX$35,2,0)="Yes",NOT(ISNUMBER(VLOOKUP(DATE($A$2,$A$3+$A$1-1,CX5),HolidayList[Date],1,0)))),TRUE,FALSE),FALSE)</f>
        <v>0</v>
      </c>
      <c r="CY4" s="13" t="b">
        <f>IFERROR(IF(AND(VLOOKUP(CY6,$NW$21:$NX$35,2,0)="Yes",NOT(ISNUMBER(VLOOKUP(DATE($A$2,$A$3+$A$1-1,CY5),HolidayList[Date],1,0)))),TRUE,FALSE),FALSE)</f>
        <v>0</v>
      </c>
      <c r="CZ4" s="13" t="b">
        <f>IFERROR(IF(AND(VLOOKUP(CZ6,$NW$21:$NX$35,2,0)="Yes",NOT(ISNUMBER(VLOOKUP(DATE($A$2,$A$3+$A$1-1,CZ5),HolidayList[Date],1,0)))),TRUE,FALSE),FALSE)</f>
        <v>0</v>
      </c>
      <c r="DA4" s="13" t="b">
        <f>IFERROR(IF(AND(VLOOKUP(DA6,$NW$21:$NX$35,2,0)="Yes",NOT(ISNUMBER(VLOOKUP(DATE($A$2,$A$3+$A$1-1,DA5),HolidayList[Date],1,0)))),TRUE,FALSE),FALSE)</f>
        <v>0</v>
      </c>
      <c r="DB4" s="13" t="b">
        <f>IFERROR(IF(AND(VLOOKUP(DB6,$NW$21:$NX$35,2,0)="Yes",NOT(ISNUMBER(VLOOKUP(DATE($A$2,$A$3+$A$1-1,DB5),HolidayList[Date],1,0)))),TRUE,FALSE),FALSE)</f>
        <v>0</v>
      </c>
      <c r="DC4" s="13" t="b">
        <f>IFERROR(IF(AND(VLOOKUP(DC6,$NW$21:$NX$35,2,0)="Yes",NOT(ISNUMBER(VLOOKUP(DATE($A$2,$A$3+$A$1-1,DC5),HolidayList[Date],1,0)))),TRUE,FALSE),FALSE)</f>
        <v>0</v>
      </c>
      <c r="DD4" s="13" t="b">
        <f>IFERROR(IF(AND(VLOOKUP(DD6,$NW$21:$NX$35,2,0)="Yes",NOT(ISNUMBER(VLOOKUP(DATE($A$2,$A$3+$A$1-1,DD5),HolidayList[Date],1,0)))),TRUE,FALSE),FALSE)</f>
        <v>0</v>
      </c>
      <c r="DE4" s="13" t="b">
        <f>IFERROR(IF(AND(VLOOKUP(DE6,$NW$21:$NX$35,2,0)="Yes",NOT(ISNUMBER(VLOOKUP(DATE($A$2,$A$3+$A$1-1,DE5),HolidayList[Date],1,0)))),TRUE,FALSE),FALSE)</f>
        <v>0</v>
      </c>
      <c r="DF4" s="13" t="b">
        <f>IFERROR(IF(AND(VLOOKUP(DF6,$NW$21:$NX$35,2,0)="Yes",NOT(ISNUMBER(VLOOKUP(DATE($A$2,$A$3+$A$1-1,DF5),HolidayList[Date],1,0)))),TRUE,FALSE),FALSE)</f>
        <v>0</v>
      </c>
      <c r="DG4" s="13" t="b">
        <f>IFERROR(IF(AND(VLOOKUP(DG6,$NW$21:$NX$35,2,0)="Yes",NOT(ISNUMBER(VLOOKUP(DATE($A$2,$A$3+$A$1-1,DG5),HolidayList[Date],1,0)))),TRUE,FALSE),FALSE)</f>
        <v>0</v>
      </c>
      <c r="DH4" s="13" t="b">
        <f>IFERROR(IF(AND(VLOOKUP(DH6,$NW$21:$NX$35,2,0)="Yes",NOT(ISNUMBER(VLOOKUP(DATE($A$2,$A$3+$A$1-1,DH5),HolidayList[Date],1,0)))),TRUE,FALSE),FALSE)</f>
        <v>0</v>
      </c>
      <c r="DI4" s="13" t="b">
        <f>IFERROR(IF(AND(VLOOKUP(DI6,$NW$21:$NX$35,2,0)="Yes",NOT(ISNUMBER(VLOOKUP(DATE($A$2,$A$3+$A$1-1,DI5),HolidayList[Date],1,0)))),TRUE,FALSE),FALSE)</f>
        <v>0</v>
      </c>
      <c r="DJ4" s="13" t="b">
        <f>IFERROR(IF(AND(VLOOKUP(DJ6,$NW$21:$NX$35,2,0)="Yes",NOT(ISNUMBER(VLOOKUP(DATE($A$2,$A$3+$A$1-1,DJ5),HolidayList[Date],1,0)))),TRUE,FALSE),FALSE)</f>
        <v>0</v>
      </c>
      <c r="DK4" s="13" t="b">
        <f>IFERROR(IF(AND(VLOOKUP(DK6,$NW$21:$NX$35,2,0)="Yes",NOT(ISNUMBER(VLOOKUP(DATE($A$2,$A$3+$A$1-1,DK5),HolidayList[Date],1,0)))),TRUE,FALSE),FALSE)</f>
        <v>0</v>
      </c>
      <c r="DL4" s="13" t="b">
        <f>IFERROR(IF(AND(VLOOKUP(DL6,$NW$21:$NX$35,2,0)="Yes",NOT(ISNUMBER(VLOOKUP(DATE($A$2,$A$3+$A$1-1,DL5),HolidayList[Date],1,0)))),TRUE,FALSE),FALSE)</f>
        <v>0</v>
      </c>
      <c r="DM4" s="13" t="b">
        <f>IFERROR(IF(AND(VLOOKUP(DM6,$NW$21:$NX$35,2,0)="Yes",NOT(ISNUMBER(VLOOKUP(DATE($A$2,$A$3+$A$1-1,DM5),HolidayList[Date],1,0)))),TRUE,FALSE),FALSE)</f>
        <v>0</v>
      </c>
      <c r="DN4" s="13" t="b">
        <f>IFERROR(IF(AND(VLOOKUP(DN6,$NW$21:$NX$35,2,0)="Yes",NOT(ISNUMBER(VLOOKUP(DATE($A$2,$A$3+$A$1-1,DN5),HolidayList[Date],1,0)))),TRUE,FALSE),FALSE)</f>
        <v>0</v>
      </c>
      <c r="DO4" s="13" t="b">
        <f>IFERROR(IF(AND(VLOOKUP(DO6,$NW$21:$NX$35,2,0)="Yes",NOT(ISNUMBER(VLOOKUP(DATE($A$2,$A$3+$A$1-1,DO5),HolidayList[Date],1,0)))),TRUE,FALSE),FALSE)</f>
        <v>0</v>
      </c>
      <c r="DP4" s="13" t="b">
        <f>IFERROR(IF(AND(VLOOKUP(DP6,$NW$21:$NX$35,2,0)="Yes",NOT(ISNUMBER(VLOOKUP(DATE($A$2,$A$3+$A$1-1,DP5),HolidayList[Date],1,0)))),TRUE,FALSE),FALSE)</f>
        <v>0</v>
      </c>
      <c r="DQ4" s="13" t="b">
        <f>IFERROR(IF(AND(VLOOKUP(DQ6,$NW$21:$NX$35,2,0)="Yes",NOT(ISNUMBER(VLOOKUP(DATE($A$2,$A$3+$A$1-1,DQ5),HolidayList[Date],1,0)))),TRUE,FALSE),FALSE)</f>
        <v>0</v>
      </c>
      <c r="DR4" s="13" t="b">
        <f>IFERROR(IF(AND(VLOOKUP(DR6,$NW$21:$NX$35,2,0)="Yes",NOT(ISNUMBER(VLOOKUP(DATE($A$2,$A$3+$A$1-1,DR5),HolidayList[Date],1,0)))),TRUE,FALSE),FALSE)</f>
        <v>0</v>
      </c>
      <c r="DS4" s="13" t="b">
        <f>IFERROR(IF(AND(VLOOKUP(DS6,$NW$21:$NX$35,2,0)="Yes",NOT(ISNUMBER(VLOOKUP(DATE($A$2,$A$3+$A$1-1,DS5),HolidayList[Date],1,0)))),TRUE,FALSE),FALSE)</f>
        <v>0</v>
      </c>
      <c r="DT4" s="13" t="b">
        <f>IFERROR(IF(AND(VLOOKUP(DT6,$NW$21:$NX$35,2,0)="Yes",NOT(ISNUMBER(VLOOKUP(DATE($A$2,$A$3+$A$1-1,DT5),HolidayList[Date],1,0)))),TRUE,FALSE),FALSE)</f>
        <v>0</v>
      </c>
      <c r="DU4" s="13" t="b">
        <f>IFERROR(IF(AND(VLOOKUP(DU6,$NW$21:$NX$35,2,0)="Yes",NOT(ISNUMBER(VLOOKUP(DATE($A$2,$A$3+$A$1-1,DU5),HolidayList[Date],1,0)))),TRUE,FALSE),FALSE)</f>
        <v>0</v>
      </c>
      <c r="DV4" s="13" t="b">
        <f>IFERROR(IF(AND(VLOOKUP(DV6,$NW$21:$NX$35,2,0)="Yes",NOT(ISNUMBER(VLOOKUP(DATE($A$2,$A$3+$A$1-1,DV5),HolidayList[Date],1,0)))),TRUE,FALSE),FALSE)</f>
        <v>0</v>
      </c>
      <c r="DW4" s="13" t="b">
        <f>IFERROR(IF(AND(VLOOKUP(DW6,$NW$21:$NX$35,2,0)="Yes",NOT(ISNUMBER(VLOOKUP(DATE($A$2,$A$3+$A$1-1,DW5),HolidayList[Date],1,0)))),TRUE,FALSE),FALSE)</f>
        <v>0</v>
      </c>
      <c r="DX4" s="13" t="b">
        <f>IFERROR(IF(AND(VLOOKUP(DX6,$NW$21:$NX$35,2,0)="Yes",NOT(ISNUMBER(VLOOKUP(DATE($A$2,$A$3+$A$1-1,DX5),HolidayList[Date],1,0)))),TRUE,FALSE),FALSE)</f>
        <v>0</v>
      </c>
      <c r="DY4" s="13" t="b">
        <f>IFERROR(IF(AND(VLOOKUP(DY6,$NW$21:$NX$35,2,0)="Yes",NOT(ISNUMBER(VLOOKUP(DATE($A$2,$A$3+$A$1-1,DY5),HolidayList[Date],1,0)))),TRUE,FALSE),FALSE)</f>
        <v>0</v>
      </c>
      <c r="DZ4" s="13" t="b">
        <f>IFERROR(IF(AND(VLOOKUP(DZ6,$NW$21:$NX$35,2,0)="Yes",NOT(ISNUMBER(VLOOKUP(DATE($A$2,$A$3+$A$1-1,DZ5),HolidayList[Date],1,0)))),TRUE,FALSE),FALSE)</f>
        <v>0</v>
      </c>
      <c r="EA4" s="13" t="b">
        <f>IFERROR(IF(AND(VLOOKUP(EA6,$NW$21:$NX$35,2,0)="Yes",NOT(ISNUMBER(VLOOKUP(DATE($A$2,$A$3+$A$1-1,EA5),HolidayList[Date],1,0)))),TRUE,FALSE),FALSE)</f>
        <v>0</v>
      </c>
      <c r="EB4" s="13" t="b">
        <f>IFERROR(IF(AND(VLOOKUP(EB6,$NW$21:$NX$35,2,0)="Yes",NOT(ISNUMBER(VLOOKUP(DATE($A$2,$A$3+$A$1-1,EB5),HolidayList[Date],1,0)))),TRUE,FALSE),FALSE)</f>
        <v>0</v>
      </c>
      <c r="EC4" s="13" t="b">
        <f>IFERROR(IF(AND(VLOOKUP(EC6,$NW$21:$NX$35,2,0)="Yes",NOT(ISNUMBER(VLOOKUP(DATE($A$2,$A$3+$A$1-1,EC5),HolidayList[Date],1,0)))),TRUE,FALSE),FALSE)</f>
        <v>0</v>
      </c>
      <c r="ED4" s="13" t="b">
        <f>IFERROR(IF(AND(VLOOKUP(ED6,$NW$21:$NX$35,2,0)="Yes",NOT(ISNUMBER(VLOOKUP(DATE($A$2,$A$3+$A$1-1,ED5),HolidayList[Date],1,0)))),TRUE,FALSE),FALSE)</f>
        <v>0</v>
      </c>
      <c r="EE4" s="13" t="b">
        <f>IFERROR(IF(AND(VLOOKUP(EE6,$NW$21:$NX$35,2,0)="Yes",NOT(ISNUMBER(VLOOKUP(DATE($A$2,$A$3+$A$1-1,EE5),HolidayList[Date],1,0)))),TRUE,FALSE),FALSE)</f>
        <v>0</v>
      </c>
      <c r="EF4" s="13" t="b">
        <f>IFERROR(IF(AND(VLOOKUP(EF6,$NW$21:$NX$35,2,0)="Yes",NOT(ISNUMBER(VLOOKUP(DATE($A$2,$A$3+$A$1-1,EF5),HolidayList[Date],1,0)))),TRUE,FALSE),FALSE)</f>
        <v>0</v>
      </c>
      <c r="EG4" s="13" t="b">
        <f>IFERROR(IF(AND(VLOOKUP(EG6,$NW$21:$NX$35,2,0)="Yes",NOT(ISNUMBER(VLOOKUP(DATE($A$2,$A$3+$A$1-1,EG5),HolidayList[Date],1,0)))),TRUE,FALSE),FALSE)</f>
        <v>0</v>
      </c>
      <c r="EH4" s="13" t="b">
        <f>IFERROR(IF(AND(VLOOKUP(EH6,$NW$21:$NX$35,2,0)="Yes",NOT(ISNUMBER(VLOOKUP(DATE($A$2,$A$3+$A$1-1,EH5),HolidayList[Date],1,0)))),TRUE,FALSE),FALSE)</f>
        <v>0</v>
      </c>
      <c r="EI4" s="13" t="b">
        <f>IFERROR(IF(AND(VLOOKUP(EI6,$NW$21:$NX$35,2,0)="Yes",NOT(ISNUMBER(VLOOKUP(DATE($A$2,$A$3+$A$1-1,EI5),HolidayList[Date],1,0)))),TRUE,FALSE),FALSE)</f>
        <v>0</v>
      </c>
      <c r="EJ4" s="13" t="b">
        <f>IFERROR(IF(AND(VLOOKUP(EJ6,$NW$21:$NX$35,2,0)="Yes",NOT(ISNUMBER(VLOOKUP(DATE($A$2,$A$3+$A$1-1,EJ5),HolidayList[Date],1,0)))),TRUE,FALSE),FALSE)</f>
        <v>0</v>
      </c>
      <c r="EK4" s="13" t="b">
        <f>IFERROR(IF(AND(VLOOKUP(EK6,$NW$21:$NX$35,2,0)="Yes",NOT(ISNUMBER(VLOOKUP(DATE($A$2,$A$3+$A$1-1,EK5),HolidayList[Date],1,0)))),TRUE,FALSE),FALSE)</f>
        <v>0</v>
      </c>
      <c r="EL4" s="13" t="b">
        <f>IFERROR(IF(AND(VLOOKUP(EL6,$NW$21:$NX$35,2,0)="Yes",NOT(ISNUMBER(VLOOKUP(DATE($A$2,$A$3+$A$1-1,EL5),HolidayList[Date],1,0)))),TRUE,FALSE),FALSE)</f>
        <v>0</v>
      </c>
      <c r="EM4" s="13" t="b">
        <f>IFERROR(IF(AND(VLOOKUP(EM6,$NW$21:$NX$35,2,0)="Yes",NOT(ISNUMBER(VLOOKUP(DATE($A$2,$A$3+$A$1-1,EM5),HolidayList[Date],1,0)))),TRUE,FALSE),FALSE)</f>
        <v>0</v>
      </c>
      <c r="EN4" s="13" t="b">
        <f>IFERROR(IF(AND(VLOOKUP(EN6,$NW$21:$NX$35,2,0)="Yes",NOT(ISNUMBER(VLOOKUP(DATE($A$2,$A$3+$A$1-1,EN5),HolidayList[Date],1,0)))),TRUE,FALSE),FALSE)</f>
        <v>0</v>
      </c>
      <c r="EO4" s="13" t="b">
        <f>IFERROR(IF(AND(VLOOKUP(EO6,$NW$21:$NX$35,2,0)="Yes",NOT(ISNUMBER(VLOOKUP(DATE($A$2,$A$3+$A$1-1,EO5),HolidayList[Date],1,0)))),TRUE,FALSE),FALSE)</f>
        <v>0</v>
      </c>
      <c r="EP4" s="13" t="b">
        <f>IFERROR(IF(AND(VLOOKUP(EP6,$NW$21:$NX$35,2,0)="Yes",NOT(ISNUMBER(VLOOKUP(DATE($A$2,$A$3+$A$1-1,EP5),HolidayList[Date],1,0)))),TRUE,FALSE),FALSE)</f>
        <v>0</v>
      </c>
      <c r="EQ4" s="13" t="b">
        <f>IFERROR(IF(AND(VLOOKUP(EQ6,$NW$21:$NX$35,2,0)="Yes",NOT(ISNUMBER(VLOOKUP(DATE($A$2,$A$3+$A$1-1,EQ5),HolidayList[Date],1,0)))),TRUE,FALSE),FALSE)</f>
        <v>0</v>
      </c>
      <c r="ER4" s="13" t="b">
        <f>IFERROR(IF(AND(VLOOKUP(ER6,$NW$21:$NX$35,2,0)="Yes",NOT(ISNUMBER(VLOOKUP(DATE($A$2,$A$3+$A$1-1,ER5),HolidayList[Date],1,0)))),TRUE,FALSE),FALSE)</f>
        <v>0</v>
      </c>
      <c r="ES4" s="13" t="b">
        <f>IFERROR(IF(AND(VLOOKUP(ES6,$NW$21:$NX$35,2,0)="Yes",NOT(ISNUMBER(VLOOKUP(DATE($A$2,$A$3+$A$1-1,ES5),HolidayList[Date],1,0)))),TRUE,FALSE),FALSE)</f>
        <v>0</v>
      </c>
      <c r="ET4" s="13" t="b">
        <f>IFERROR(IF(AND(VLOOKUP(ET6,$NW$21:$NX$35,2,0)="Yes",NOT(ISNUMBER(VLOOKUP(DATE($A$2,$A$3+$A$1-1,ET5),HolidayList[Date],1,0)))),TRUE,FALSE),FALSE)</f>
        <v>0</v>
      </c>
      <c r="EU4" s="13" t="b">
        <f>IFERROR(IF(AND(VLOOKUP(EU6,$NW$21:$NX$35,2,0)="Yes",NOT(ISNUMBER(VLOOKUP(DATE($A$2,$A$3+$A$1-1,EU5),HolidayList[Date],1,0)))),TRUE,FALSE),FALSE)</f>
        <v>0</v>
      </c>
      <c r="EV4" s="13" t="b">
        <f>IFERROR(IF(AND(VLOOKUP(EV6,$NW$21:$NX$35,2,0)="Yes",NOT(ISNUMBER(VLOOKUP(DATE($A$2,$A$3+$A$1-1,EV5),HolidayList[Date],1,0)))),TRUE,FALSE),FALSE)</f>
        <v>0</v>
      </c>
      <c r="EW4" s="13" t="b">
        <f>IFERROR(IF(AND(VLOOKUP(EW6,$NW$21:$NX$35,2,0)="Yes",NOT(ISNUMBER(VLOOKUP(DATE($A$2,$A$3+$A$1-1,EW5),HolidayList[Date],1,0)))),TRUE,FALSE),FALSE)</f>
        <v>0</v>
      </c>
      <c r="EX4" s="13" t="b">
        <f>IFERROR(IF(AND(VLOOKUP(EX6,$NW$21:$NX$35,2,0)="Yes",NOT(ISNUMBER(VLOOKUP(DATE($A$2,$A$3+$A$1-1,EX5),HolidayList[Date],1,0)))),TRUE,FALSE),FALSE)</f>
        <v>0</v>
      </c>
      <c r="EY4" s="13" t="b">
        <f>IFERROR(IF(AND(VLOOKUP(EY6,$NW$21:$NX$35,2,0)="Yes",NOT(ISNUMBER(VLOOKUP(DATE($A$2,$A$3+$A$1-1,EY5),HolidayList[Date],1,0)))),TRUE,FALSE),FALSE)</f>
        <v>0</v>
      </c>
      <c r="EZ4" s="13" t="b">
        <f>IFERROR(IF(AND(VLOOKUP(EZ6,$NW$21:$NX$35,2,0)="Yes",NOT(ISNUMBER(VLOOKUP(DATE($A$2,$A$3+$A$1-1,EZ5),HolidayList[Date],1,0)))),TRUE,FALSE),FALSE)</f>
        <v>0</v>
      </c>
      <c r="FA4" s="13" t="b">
        <f>IFERROR(IF(AND(VLOOKUP(FA6,$NW$21:$NX$35,2,0)="Yes",NOT(ISNUMBER(VLOOKUP(DATE($A$2,$A$3+$A$1-1,FA5),HolidayList[Date],1,0)))),TRUE,FALSE),FALSE)</f>
        <v>0</v>
      </c>
      <c r="FB4" s="13" t="b">
        <f>IFERROR(IF(AND(VLOOKUP(FB6,$NW$21:$NX$35,2,0)="Yes",NOT(ISNUMBER(VLOOKUP(DATE($A$2,$A$3+$A$1-1,FB5),HolidayList[Date],1,0)))),TRUE,FALSE),FALSE)</f>
        <v>0</v>
      </c>
      <c r="FC4" s="13" t="b">
        <f>IFERROR(IF(AND(VLOOKUP(FC6,$NW$21:$NX$35,2,0)="Yes",NOT(ISNUMBER(VLOOKUP(DATE($A$2,$A$3+$A$1-1,FC5),HolidayList[Date],1,0)))),TRUE,FALSE),FALSE)</f>
        <v>0</v>
      </c>
      <c r="FD4" s="13" t="b">
        <f>IFERROR(IF(AND(VLOOKUP(FD6,$NW$21:$NX$35,2,0)="Yes",NOT(ISNUMBER(VLOOKUP(DATE($A$2,$A$3+$A$1-1,FD5),HolidayList[Date],1,0)))),TRUE,FALSE),FALSE)</f>
        <v>0</v>
      </c>
      <c r="FE4" s="13" t="b">
        <f>IFERROR(IF(AND(VLOOKUP(FE6,$NW$21:$NX$35,2,0)="Yes",NOT(ISNUMBER(VLOOKUP(DATE($A$2,$A$3+$A$1-1,FE5),HolidayList[Date],1,0)))),TRUE,FALSE),FALSE)</f>
        <v>0</v>
      </c>
      <c r="FF4" s="13" t="b">
        <f>IFERROR(IF(AND(VLOOKUP(FF6,$NW$21:$NX$35,2,0)="Yes",NOT(ISNUMBER(VLOOKUP(DATE($A$2,$A$3+$A$1-1,FF5),HolidayList[Date],1,0)))),TRUE,FALSE),FALSE)</f>
        <v>0</v>
      </c>
      <c r="FG4" s="13" t="b">
        <f>IFERROR(IF(AND(VLOOKUP(FG6,$NW$21:$NX$35,2,0)="Yes",NOT(ISNUMBER(VLOOKUP(DATE($A$2,$A$3+$A$1-1,FG5),HolidayList[Date],1,0)))),TRUE,FALSE),FALSE)</f>
        <v>0</v>
      </c>
      <c r="FH4" s="13" t="b">
        <f>IFERROR(IF(AND(VLOOKUP(FH6,$NW$21:$NX$35,2,0)="Yes",NOT(ISNUMBER(VLOOKUP(DATE($A$2,$A$3+$A$1-1,FH5),HolidayList[Date],1,0)))),TRUE,FALSE),FALSE)</f>
        <v>0</v>
      </c>
      <c r="FI4" s="13" t="b">
        <f>IFERROR(IF(AND(VLOOKUP(FI6,$NW$21:$NX$35,2,0)="Yes",NOT(ISNUMBER(VLOOKUP(DATE($A$2,$A$3+$A$1-1,FI5),HolidayList[Date],1,0)))),TRUE,FALSE),FALSE)</f>
        <v>0</v>
      </c>
      <c r="FJ4" s="13" t="b">
        <f>IFERROR(IF(AND(VLOOKUP(FJ6,$NW$21:$NX$35,2,0)="Yes",NOT(ISNUMBER(VLOOKUP(DATE($A$2,$A$3+$A$1-1,FJ5),HolidayList[Date],1,0)))),TRUE,FALSE),FALSE)</f>
        <v>0</v>
      </c>
      <c r="FK4" s="13" t="b">
        <f>IFERROR(IF(AND(VLOOKUP(FK6,$NW$21:$NX$35,2,0)="Yes",NOT(ISNUMBER(VLOOKUP(DATE($A$2,$A$3+$A$1-1,FK5),HolidayList[Date],1,0)))),TRUE,FALSE),FALSE)</f>
        <v>0</v>
      </c>
      <c r="FL4" s="13" t="b">
        <f>IFERROR(IF(AND(VLOOKUP(FL6,$NW$21:$NX$35,2,0)="Yes",NOT(ISNUMBER(VLOOKUP(DATE($A$2,$A$3+$A$1-1,FL5),HolidayList[Date],1,0)))),TRUE,FALSE),FALSE)</f>
        <v>0</v>
      </c>
      <c r="FM4" s="13" t="b">
        <f>IFERROR(IF(AND(VLOOKUP(FM6,$NW$21:$NX$35,2,0)="Yes",NOT(ISNUMBER(VLOOKUP(DATE($A$2,$A$3+$A$1-1,FM5),HolidayList[Date],1,0)))),TRUE,FALSE),FALSE)</f>
        <v>0</v>
      </c>
      <c r="FN4" s="13" t="b">
        <f>IFERROR(IF(AND(VLOOKUP(FN6,$NW$21:$NX$35,2,0)="Yes",NOT(ISNUMBER(VLOOKUP(DATE($A$2,$A$3+$A$1-1,FN5),HolidayList[Date],1,0)))),TRUE,FALSE),FALSE)</f>
        <v>0</v>
      </c>
      <c r="FO4" s="13" t="b">
        <f>IFERROR(IF(AND(VLOOKUP(FO6,$NW$21:$NX$35,2,0)="Yes",NOT(ISNUMBER(VLOOKUP(DATE($A$2,$A$3+$A$1-1,FO5),HolidayList[Date],1,0)))),TRUE,FALSE),FALSE)</f>
        <v>0</v>
      </c>
      <c r="FP4" s="13" t="b">
        <f>IFERROR(IF(AND(VLOOKUP(FP6,$NW$21:$NX$35,2,0)="Yes",NOT(ISNUMBER(VLOOKUP(DATE($A$2,$A$3+$A$1-1,FP5),HolidayList[Date],1,0)))),TRUE,FALSE),FALSE)</f>
        <v>0</v>
      </c>
      <c r="FQ4" s="13" t="b">
        <f>IFERROR(IF(AND(VLOOKUP(FQ6,$NW$21:$NX$35,2,0)="Yes",NOT(ISNUMBER(VLOOKUP(DATE($A$2,$A$3+$A$1-1,FQ5),HolidayList[Date],1,0)))),TRUE,FALSE),FALSE)</f>
        <v>0</v>
      </c>
      <c r="FR4" s="13" t="b">
        <f>IFERROR(IF(AND(VLOOKUP(FR6,$NW$21:$NX$35,2,0)="Yes",NOT(ISNUMBER(VLOOKUP(DATE($A$2,$A$3+$A$1-1,FR5),HolidayList[Date],1,0)))),TRUE,FALSE),FALSE)</f>
        <v>0</v>
      </c>
      <c r="FS4" s="13" t="b">
        <f>IFERROR(IF(AND(VLOOKUP(FS6,$NW$21:$NX$35,2,0)="Yes",NOT(ISNUMBER(VLOOKUP(DATE($A$2,$A$3+$A$1-1,FS5),HolidayList[Date],1,0)))),TRUE,FALSE),FALSE)</f>
        <v>0</v>
      </c>
      <c r="FT4" s="13" t="b">
        <f>IFERROR(IF(AND(VLOOKUP(FT6,$NW$21:$NX$35,2,0)="Yes",NOT(ISNUMBER(VLOOKUP(DATE($A$2,$A$3+$A$1-1,FT5),HolidayList[Date],1,0)))),TRUE,FALSE),FALSE)</f>
        <v>0</v>
      </c>
      <c r="FU4" s="13" t="b">
        <f>IFERROR(IF(AND(VLOOKUP(FU6,$NW$21:$NX$35,2,0)="Yes",NOT(ISNUMBER(VLOOKUP(DATE($A$2,$A$3+$A$1-1,FU5),HolidayList[Date],1,0)))),TRUE,FALSE),FALSE)</f>
        <v>0</v>
      </c>
      <c r="FV4" s="13" t="b">
        <f>IFERROR(IF(AND(VLOOKUP(FV6,$NW$21:$NX$35,2,0)="Yes",NOT(ISNUMBER(VLOOKUP(DATE($A$2,$A$3+$A$1-1,FV5),HolidayList[Date],1,0)))),TRUE,FALSE),FALSE)</f>
        <v>0</v>
      </c>
      <c r="FW4" s="13" t="b">
        <f>IFERROR(IF(AND(VLOOKUP(FW6,$NW$21:$NX$35,2,0)="Yes",NOT(ISNUMBER(VLOOKUP(DATE($A$2,$A$3+$A$1-1,FW5),HolidayList[Date],1,0)))),TRUE,FALSE),FALSE)</f>
        <v>0</v>
      </c>
      <c r="FX4" s="13" t="b">
        <f>IFERROR(IF(AND(VLOOKUP(FX6,$NW$21:$NX$35,2,0)="Yes",NOT(ISNUMBER(VLOOKUP(DATE($A$2,$A$3+$A$1-1,FX5),HolidayList[Date],1,0)))),TRUE,FALSE),FALSE)</f>
        <v>0</v>
      </c>
      <c r="FY4" s="13" t="b">
        <f>IFERROR(IF(AND(VLOOKUP(FY6,$NW$21:$NX$35,2,0)="Yes",NOT(ISNUMBER(VLOOKUP(DATE($A$2,$A$3+$A$1-1,FY5),HolidayList[Date],1,0)))),TRUE,FALSE),FALSE)</f>
        <v>0</v>
      </c>
      <c r="FZ4" s="13" t="b">
        <f>IFERROR(IF(AND(VLOOKUP(FZ6,$NW$21:$NX$35,2,0)="Yes",NOT(ISNUMBER(VLOOKUP(DATE($A$2,$A$3+$A$1-1,FZ5),HolidayList[Date],1,0)))),TRUE,FALSE),FALSE)</f>
        <v>0</v>
      </c>
      <c r="GA4" s="13" t="b">
        <f>IFERROR(IF(AND(VLOOKUP(GA6,$NW$21:$NX$35,2,0)="Yes",NOT(ISNUMBER(VLOOKUP(DATE($A$2,$A$3+$A$1-1,GA5),HolidayList[Date],1,0)))),TRUE,FALSE),FALSE)</f>
        <v>0</v>
      </c>
      <c r="GB4" s="13" t="b">
        <f>IFERROR(IF(AND(VLOOKUP(GB6,$NW$21:$NX$35,2,0)="Yes",NOT(ISNUMBER(VLOOKUP(DATE($A$2,$A$3+$A$1-1,GB5),HolidayList[Date],1,0)))),TRUE,FALSE),FALSE)</f>
        <v>0</v>
      </c>
      <c r="GC4" s="13" t="b">
        <f>IFERROR(IF(AND(VLOOKUP(GC6,$NW$21:$NX$35,2,0)="Yes",NOT(ISNUMBER(VLOOKUP(DATE($A$2,$A$3+$A$1-1,GC5),HolidayList[Date],1,0)))),TRUE,FALSE),FALSE)</f>
        <v>0</v>
      </c>
      <c r="GD4" s="13" t="b">
        <f>IFERROR(IF(AND(VLOOKUP(GD6,$NW$21:$NX$35,2,0)="Yes",NOT(ISNUMBER(VLOOKUP(DATE($A$2,$A$3+$A$1-1,GD5),HolidayList[Date],1,0)))),TRUE,FALSE),FALSE)</f>
        <v>0</v>
      </c>
      <c r="GE4" s="13" t="b">
        <f>IFERROR(IF(AND(VLOOKUP(GE6,$NW$21:$NX$35,2,0)="Yes",NOT(ISNUMBER(VLOOKUP(DATE($A$2,$A$3+$A$1-1,GE5),HolidayList[Date],1,0)))),TRUE,FALSE),FALSE)</f>
        <v>0</v>
      </c>
      <c r="GF4" s="13" t="b">
        <f>IFERROR(IF(AND(VLOOKUP(GF6,$NW$21:$NX$35,2,0)="Yes",NOT(ISNUMBER(VLOOKUP(DATE($A$2,$A$3+$A$1-1,GF5),HolidayList[Date],1,0)))),TRUE,FALSE),FALSE)</f>
        <v>0</v>
      </c>
      <c r="GG4" s="13" t="b">
        <f>IFERROR(IF(AND(VLOOKUP(GG6,$NW$21:$NX$35,2,0)="Yes",NOT(ISNUMBER(VLOOKUP(DATE($A$2,$A$3+$A$1-1,GG5),HolidayList[Date],1,0)))),TRUE,FALSE),FALSE)</f>
        <v>0</v>
      </c>
      <c r="GH4" s="13" t="b">
        <f>IFERROR(IF(AND(VLOOKUP(GH6,$NW$21:$NX$35,2,0)="Yes",NOT(ISNUMBER(VLOOKUP(DATE($A$2,$A$3+$A$1-1,GH5),HolidayList[Date],1,0)))),TRUE,FALSE),FALSE)</f>
        <v>0</v>
      </c>
      <c r="GI4" s="13" t="b">
        <f>IFERROR(IF(AND(VLOOKUP(GI6,$NW$21:$NX$35,2,0)="Yes",NOT(ISNUMBER(VLOOKUP(DATE($A$2,$A$3+$A$1-1,GI5),HolidayList[Date],1,0)))),TRUE,FALSE),FALSE)</f>
        <v>0</v>
      </c>
      <c r="GJ4" s="13" t="b">
        <f>IFERROR(IF(AND(VLOOKUP(GJ6,$NW$21:$NX$35,2,0)="Yes",NOT(ISNUMBER(VLOOKUP(DATE($A$2,$A$3+$A$1-1,GJ5),HolidayList[Date],1,0)))),TRUE,FALSE),FALSE)</f>
        <v>0</v>
      </c>
      <c r="GK4" s="13" t="b">
        <f>IFERROR(IF(AND(VLOOKUP(GK6,$NW$21:$NX$35,2,0)="Yes",NOT(ISNUMBER(VLOOKUP(DATE($A$2,$A$3+$A$1-1,GK5),HolidayList[Date],1,0)))),TRUE,FALSE),FALSE)</f>
        <v>0</v>
      </c>
      <c r="GL4" s="13" t="b">
        <f>IFERROR(IF(AND(VLOOKUP(GL6,$NW$21:$NX$35,2,0)="Yes",NOT(ISNUMBER(VLOOKUP(DATE($A$2,$A$3+$A$1-1,GL5),HolidayList[Date],1,0)))),TRUE,FALSE),FALSE)</f>
        <v>0</v>
      </c>
      <c r="GM4" s="13" t="b">
        <f>IFERROR(IF(AND(VLOOKUP(GM6,$NW$21:$NX$35,2,0)="Yes",NOT(ISNUMBER(VLOOKUP(DATE($A$2,$A$3+$A$1-1,GM5),HolidayList[Date],1,0)))),TRUE,FALSE),FALSE)</f>
        <v>0</v>
      </c>
      <c r="GN4" s="13" t="b">
        <f>IFERROR(IF(AND(VLOOKUP(GN6,$NW$21:$NX$35,2,0)="Yes",NOT(ISNUMBER(VLOOKUP(DATE($A$2,$A$3+$A$1-1,GN5),HolidayList[Date],1,0)))),TRUE,FALSE),FALSE)</f>
        <v>0</v>
      </c>
      <c r="GO4" s="13" t="b">
        <f>IFERROR(IF(AND(VLOOKUP(GO6,$NW$21:$NX$35,2,0)="Yes",NOT(ISNUMBER(VLOOKUP(DATE($A$2,$A$3+$A$1-1,GO5),HolidayList[Date],1,0)))),TRUE,FALSE),FALSE)</f>
        <v>0</v>
      </c>
      <c r="GP4" s="13" t="b">
        <f>IFERROR(IF(AND(VLOOKUP(GP6,$NW$21:$NX$35,2,0)="Yes",NOT(ISNUMBER(VLOOKUP(DATE($A$2,$A$3+$A$1-1,GP5),HolidayList[Date],1,0)))),TRUE,FALSE),FALSE)</f>
        <v>0</v>
      </c>
      <c r="GQ4" s="13" t="b">
        <f>IFERROR(IF(AND(VLOOKUP(GQ6,$NW$21:$NX$35,2,0)="Yes",NOT(ISNUMBER(VLOOKUP(DATE($A$2,$A$3+$A$1-1,GQ5),HolidayList[Date],1,0)))),TRUE,FALSE),FALSE)</f>
        <v>0</v>
      </c>
      <c r="GR4" s="13" t="b">
        <f>IFERROR(IF(AND(VLOOKUP(GR6,$NW$21:$NX$35,2,0)="Yes",NOT(ISNUMBER(VLOOKUP(DATE($A$2,$A$3+$A$1-1,GR5),HolidayList[Date],1,0)))),TRUE,FALSE),FALSE)</f>
        <v>0</v>
      </c>
      <c r="GS4" s="13" t="b">
        <f>IFERROR(IF(AND(VLOOKUP(GS6,$NW$21:$NX$35,2,0)="Yes",NOT(ISNUMBER(VLOOKUP(DATE($A$2,$A$3+$A$1-1,GS5),HolidayList[Date],1,0)))),TRUE,FALSE),FALSE)</f>
        <v>0</v>
      </c>
      <c r="GT4" s="13" t="b">
        <f>IFERROR(IF(AND(VLOOKUP(GT6,$NW$21:$NX$35,2,0)="Yes",NOT(ISNUMBER(VLOOKUP(DATE($A$2,$A$3+$A$1-1,GT5),HolidayList[Date],1,0)))),TRUE,FALSE),FALSE)</f>
        <v>0</v>
      </c>
      <c r="GU4" s="13" t="b">
        <f>IFERROR(IF(AND(VLOOKUP(GU6,$NW$21:$NX$35,2,0)="Yes",NOT(ISNUMBER(VLOOKUP(DATE($A$2,$A$3+$A$1-1,GU5),HolidayList[Date],1,0)))),TRUE,FALSE),FALSE)</f>
        <v>0</v>
      </c>
      <c r="GV4" s="13" t="b">
        <f>IFERROR(IF(AND(VLOOKUP(GV6,$NW$21:$NX$35,2,0)="Yes",NOT(ISNUMBER(VLOOKUP(DATE($A$2,$A$3+$A$1-1,GV5),HolidayList[Date],1,0)))),TRUE,FALSE),FALSE)</f>
        <v>0</v>
      </c>
      <c r="GW4" s="13" t="b">
        <f>IFERROR(IF(AND(VLOOKUP(GW6,$NW$21:$NX$35,2,0)="Yes",NOT(ISNUMBER(VLOOKUP(DATE($A$2,$A$3+$A$1-1,GW5),HolidayList[Date],1,0)))),TRUE,FALSE),FALSE)</f>
        <v>0</v>
      </c>
      <c r="GX4" s="13" t="b">
        <f>IFERROR(IF(AND(VLOOKUP(GX6,$NW$21:$NX$35,2,0)="Yes",NOT(ISNUMBER(VLOOKUP(DATE($A$2,$A$3+$A$1-1,GX5),HolidayList[Date],1,0)))),TRUE,FALSE),FALSE)</f>
        <v>0</v>
      </c>
      <c r="GY4" s="13" t="b">
        <f>IFERROR(IF(AND(VLOOKUP(GY6,$NW$21:$NX$35,2,0)="Yes",NOT(ISNUMBER(VLOOKUP(DATE($A$2,$A$3+$A$1-1,GY5),HolidayList[Date],1,0)))),TRUE,FALSE),FALSE)</f>
        <v>0</v>
      </c>
      <c r="GZ4" s="13" t="b">
        <f>IFERROR(IF(AND(VLOOKUP(GZ6,$NW$21:$NX$35,2,0)="Yes",NOT(ISNUMBER(VLOOKUP(DATE($A$2,$A$3+$A$1-1,GZ5),HolidayList[Date],1,0)))),TRUE,FALSE),FALSE)</f>
        <v>0</v>
      </c>
      <c r="HA4" s="13" t="b">
        <f>IFERROR(IF(AND(VLOOKUP(HA6,$NW$21:$NX$35,2,0)="Yes",NOT(ISNUMBER(VLOOKUP(DATE($A$2,$A$3+$A$1-1,HA5),HolidayList[Date],1,0)))),TRUE,FALSE),FALSE)</f>
        <v>0</v>
      </c>
      <c r="HB4" s="13" t="b">
        <f>IFERROR(IF(AND(VLOOKUP(HB6,$NW$21:$NX$35,2,0)="Yes",NOT(ISNUMBER(VLOOKUP(DATE($A$2,$A$3+$A$1-1,HB5),HolidayList[Date],1,0)))),TRUE,FALSE),FALSE)</f>
        <v>0</v>
      </c>
      <c r="HC4" s="13" t="b">
        <f>IFERROR(IF(AND(VLOOKUP(HC6,$NW$21:$NX$35,2,0)="Yes",NOT(ISNUMBER(VLOOKUP(DATE($A$2,$A$3+$A$1-1,HC5),HolidayList[Date],1,0)))),TRUE,FALSE),FALSE)</f>
        <v>0</v>
      </c>
      <c r="HD4" s="13" t="b">
        <f>IFERROR(IF(AND(VLOOKUP(HD6,$NW$21:$NX$35,2,0)="Yes",NOT(ISNUMBER(VLOOKUP(DATE($A$2,$A$3+$A$1-1,HD5),HolidayList[Date],1,0)))),TRUE,FALSE),FALSE)</f>
        <v>0</v>
      </c>
      <c r="HE4" s="13" t="b">
        <f>IFERROR(IF(AND(VLOOKUP(HE6,$NW$21:$NX$35,2,0)="Yes",NOT(ISNUMBER(VLOOKUP(DATE($A$2,$A$3+$A$1-1,HE5),HolidayList[Date],1,0)))),TRUE,FALSE),FALSE)</f>
        <v>0</v>
      </c>
      <c r="HF4" s="13" t="b">
        <f>IFERROR(IF(AND(VLOOKUP(HF6,$NW$21:$NX$35,2,0)="Yes",NOT(ISNUMBER(VLOOKUP(DATE($A$2,$A$3+$A$1-1,HF5),HolidayList[Date],1,0)))),TRUE,FALSE),FALSE)</f>
        <v>0</v>
      </c>
      <c r="HG4" s="13" t="b">
        <f>IFERROR(IF(AND(VLOOKUP(HG6,$NW$21:$NX$35,2,0)="Yes",NOT(ISNUMBER(VLOOKUP(DATE($A$2,$A$3+$A$1-1,HG5),HolidayList[Date],1,0)))),TRUE,FALSE),FALSE)</f>
        <v>0</v>
      </c>
      <c r="HH4" s="13" t="b">
        <f>IFERROR(IF(AND(VLOOKUP(HH6,$NW$21:$NX$35,2,0)="Yes",NOT(ISNUMBER(VLOOKUP(DATE($A$2,$A$3+$A$1-1,HH5),HolidayList[Date],1,0)))),TRUE,FALSE),FALSE)</f>
        <v>0</v>
      </c>
      <c r="HI4" s="13" t="b">
        <f>IFERROR(IF(AND(VLOOKUP(HI6,$NW$21:$NX$35,2,0)="Yes",NOT(ISNUMBER(VLOOKUP(DATE($A$2,$A$3+$A$1-1,HI5),HolidayList[Date],1,0)))),TRUE,FALSE),FALSE)</f>
        <v>0</v>
      </c>
      <c r="HJ4" s="13" t="b">
        <f>IFERROR(IF(AND(VLOOKUP(HJ6,$NW$21:$NX$35,2,0)="Yes",NOT(ISNUMBER(VLOOKUP(DATE($A$2,$A$3+$A$1-1,HJ5),HolidayList[Date],1,0)))),TRUE,FALSE),FALSE)</f>
        <v>0</v>
      </c>
      <c r="HK4" s="13" t="b">
        <f>IFERROR(IF(AND(VLOOKUP(HK6,$NW$21:$NX$35,2,0)="Yes",NOT(ISNUMBER(VLOOKUP(DATE($A$2,$A$3+$A$1-1,HK5),HolidayList[Date],1,0)))),TRUE,FALSE),FALSE)</f>
        <v>0</v>
      </c>
      <c r="HL4" s="13" t="b">
        <f>IFERROR(IF(AND(VLOOKUP(HL6,$NW$21:$NX$35,2,0)="Yes",NOT(ISNUMBER(VLOOKUP(DATE($A$2,$A$3+$A$1-1,HL5),HolidayList[Date],1,0)))),TRUE,FALSE),FALSE)</f>
        <v>0</v>
      </c>
      <c r="HM4" s="13" t="b">
        <f>IFERROR(IF(AND(VLOOKUP(HM6,$NW$21:$NX$35,2,0)="Yes",NOT(ISNUMBER(VLOOKUP(DATE($A$2,$A$3+$A$1-1,HM5),HolidayList[Date],1,0)))),TRUE,FALSE),FALSE)</f>
        <v>0</v>
      </c>
      <c r="HN4" s="13" t="b">
        <f>IFERROR(IF(AND(VLOOKUP(HN6,$NW$21:$NX$35,2,0)="Yes",NOT(ISNUMBER(VLOOKUP(DATE($A$2,$A$3+$A$1-1,HN5),HolidayList[Date],1,0)))),TRUE,FALSE),FALSE)</f>
        <v>0</v>
      </c>
      <c r="HO4" s="13" t="b">
        <f>IFERROR(IF(AND(VLOOKUP(HO6,$NW$21:$NX$35,2,0)="Yes",NOT(ISNUMBER(VLOOKUP(DATE($A$2,$A$3+$A$1-1,HO5),HolidayList[Date],1,0)))),TRUE,FALSE),FALSE)</f>
        <v>0</v>
      </c>
      <c r="HP4" s="13" t="b">
        <f>IFERROR(IF(AND(VLOOKUP(HP6,$NW$21:$NX$35,2,0)="Yes",NOT(ISNUMBER(VLOOKUP(DATE($A$2,$A$3+$A$1-1,HP5),HolidayList[Date],1,0)))),TRUE,FALSE),FALSE)</f>
        <v>0</v>
      </c>
      <c r="HQ4" s="13" t="b">
        <f>IFERROR(IF(AND(VLOOKUP(HQ6,$NW$21:$NX$35,2,0)="Yes",NOT(ISNUMBER(VLOOKUP(DATE($A$2,$A$3+$A$1-1,HQ5),HolidayList[Date],1,0)))),TRUE,FALSE),FALSE)</f>
        <v>0</v>
      </c>
      <c r="HR4" s="13" t="b">
        <f>IFERROR(IF(AND(VLOOKUP(HR6,$NW$21:$NX$35,2,0)="Yes",NOT(ISNUMBER(VLOOKUP(DATE($A$2,$A$3+$A$1-1,HR5),HolidayList[Date],1,0)))),TRUE,FALSE),FALSE)</f>
        <v>0</v>
      </c>
      <c r="HS4" s="13" t="b">
        <f>IFERROR(IF(AND(VLOOKUP(HS6,$NW$21:$NX$35,2,0)="Yes",NOT(ISNUMBER(VLOOKUP(DATE($A$2,$A$3+$A$1-1,HS5),HolidayList[Date],1,0)))),TRUE,FALSE),FALSE)</f>
        <v>0</v>
      </c>
      <c r="HT4" s="13" t="b">
        <f>IFERROR(IF(AND(VLOOKUP(HT6,$NW$21:$NX$35,2,0)="Yes",NOT(ISNUMBER(VLOOKUP(DATE($A$2,$A$3+$A$1-1,HT5),HolidayList[Date],1,0)))),TRUE,FALSE),FALSE)</f>
        <v>0</v>
      </c>
      <c r="HU4" s="13" t="b">
        <f>IFERROR(IF(AND(VLOOKUP(HU6,$NW$21:$NX$35,2,0)="Yes",NOT(ISNUMBER(VLOOKUP(DATE($A$2,$A$3+$A$1-1,HU5),HolidayList[Date],1,0)))),TRUE,FALSE),FALSE)</f>
        <v>0</v>
      </c>
      <c r="HV4" s="13" t="b">
        <f>IFERROR(IF(AND(VLOOKUP(HV6,$NW$21:$NX$35,2,0)="Yes",NOT(ISNUMBER(VLOOKUP(DATE($A$2,$A$3+$A$1-1,HV5),HolidayList[Date],1,0)))),TRUE,FALSE),FALSE)</f>
        <v>0</v>
      </c>
      <c r="HW4" s="13" t="b">
        <f>IFERROR(IF(AND(VLOOKUP(HW6,$NW$21:$NX$35,2,0)="Yes",NOT(ISNUMBER(VLOOKUP(DATE($A$2,$A$3+$A$1-1,HW5),HolidayList[Date],1,0)))),TRUE,FALSE),FALSE)</f>
        <v>0</v>
      </c>
      <c r="HX4" s="13" t="b">
        <f>IFERROR(IF(AND(VLOOKUP(HX6,$NW$21:$NX$35,2,0)="Yes",NOT(ISNUMBER(VLOOKUP(DATE($A$2,$A$3+$A$1-1,HX5),HolidayList[Date],1,0)))),TRUE,FALSE),FALSE)</f>
        <v>0</v>
      </c>
      <c r="HY4" s="13" t="b">
        <f>IFERROR(IF(AND(VLOOKUP(HY6,$NW$21:$NX$35,2,0)="Yes",NOT(ISNUMBER(VLOOKUP(DATE($A$2,$A$3+$A$1-1,HY5),HolidayList[Date],1,0)))),TRUE,FALSE),FALSE)</f>
        <v>0</v>
      </c>
      <c r="HZ4" s="13" t="b">
        <f>IFERROR(IF(AND(VLOOKUP(HZ6,$NW$21:$NX$35,2,0)="Yes",NOT(ISNUMBER(VLOOKUP(DATE($A$2,$A$3+$A$1-1,HZ5),HolidayList[Date],1,0)))),TRUE,FALSE),FALSE)</f>
        <v>0</v>
      </c>
      <c r="IA4" s="13" t="b">
        <f>IFERROR(IF(AND(VLOOKUP(IA6,$NW$21:$NX$35,2,0)="Yes",NOT(ISNUMBER(VLOOKUP(DATE($A$2,$A$3+$A$1-1,IA5),HolidayList[Date],1,0)))),TRUE,FALSE),FALSE)</f>
        <v>0</v>
      </c>
      <c r="IB4" s="13" t="b">
        <f>IFERROR(IF(AND(VLOOKUP(IB6,$NW$21:$NX$35,2,0)="Yes",NOT(ISNUMBER(VLOOKUP(DATE($A$2,$A$3+$A$1-1,IB5),HolidayList[Date],1,0)))),TRUE,FALSE),FALSE)</f>
        <v>0</v>
      </c>
      <c r="IC4" s="13" t="b">
        <f>IFERROR(IF(AND(VLOOKUP(IC6,$NW$21:$NX$35,2,0)="Yes",NOT(ISNUMBER(VLOOKUP(DATE($A$2,$A$3+$A$1-1,IC5),HolidayList[Date],1,0)))),TRUE,FALSE),FALSE)</f>
        <v>0</v>
      </c>
      <c r="ID4" s="13" t="b">
        <f>IFERROR(IF(AND(VLOOKUP(ID6,$NW$21:$NX$35,2,0)="Yes",NOT(ISNUMBER(VLOOKUP(DATE($A$2,$A$3+$A$1-1,ID5),HolidayList[Date],1,0)))),TRUE,FALSE),FALSE)</f>
        <v>0</v>
      </c>
      <c r="IE4" s="13" t="b">
        <f>IFERROR(IF(AND(VLOOKUP(IE6,$NW$21:$NX$35,2,0)="Yes",NOT(ISNUMBER(VLOOKUP(DATE($A$2,$A$3+$A$1-1,IE5),HolidayList[Date],1,0)))),TRUE,FALSE),FALSE)</f>
        <v>0</v>
      </c>
      <c r="IF4" s="13" t="b">
        <f>IFERROR(IF(AND(VLOOKUP(IF6,$NW$21:$NX$35,2,0)="Yes",NOT(ISNUMBER(VLOOKUP(DATE($A$2,$A$3+$A$1-1,IF5),HolidayList[Date],1,0)))),TRUE,FALSE),FALSE)</f>
        <v>0</v>
      </c>
      <c r="IG4" s="13" t="b">
        <f>IFERROR(IF(AND(VLOOKUP(IG6,$NW$21:$NX$35,2,0)="Yes",NOT(ISNUMBER(VLOOKUP(DATE($A$2,$A$3+$A$1-1,IG5),HolidayList[Date],1,0)))),TRUE,FALSE),FALSE)</f>
        <v>0</v>
      </c>
      <c r="IH4" s="13" t="b">
        <f>IFERROR(IF(AND(VLOOKUP(IH6,$NW$21:$NX$35,2,0)="Yes",NOT(ISNUMBER(VLOOKUP(DATE($A$2,$A$3+$A$1-1,IH5),HolidayList[Date],1,0)))),TRUE,FALSE),FALSE)</f>
        <v>0</v>
      </c>
      <c r="II4" s="13" t="b">
        <f>IFERROR(IF(AND(VLOOKUP(II6,$NW$21:$NX$35,2,0)="Yes",NOT(ISNUMBER(VLOOKUP(DATE($A$2,$A$3+$A$1-1,II5),HolidayList[Date],1,0)))),TRUE,FALSE),FALSE)</f>
        <v>0</v>
      </c>
      <c r="IJ4" s="13" t="b">
        <f>IFERROR(IF(AND(VLOOKUP(IJ6,$NW$21:$NX$35,2,0)="Yes",NOT(ISNUMBER(VLOOKUP(DATE($A$2,$A$3+$A$1-1,IJ5),HolidayList[Date],1,0)))),TRUE,FALSE),FALSE)</f>
        <v>0</v>
      </c>
      <c r="IK4" s="13" t="b">
        <f>IFERROR(IF(AND(VLOOKUP(IK6,$NW$21:$NX$35,2,0)="Yes",NOT(ISNUMBER(VLOOKUP(DATE($A$2,$A$3+$A$1-1,IK5),HolidayList[Date],1,0)))),TRUE,FALSE),FALSE)</f>
        <v>0</v>
      </c>
      <c r="IL4" s="13" t="b">
        <f>IFERROR(IF(AND(VLOOKUP(IL6,$NW$21:$NX$35,2,0)="Yes",NOT(ISNUMBER(VLOOKUP(DATE($A$2,$A$3+$A$1-1,IL5),HolidayList[Date],1,0)))),TRUE,FALSE),FALSE)</f>
        <v>0</v>
      </c>
      <c r="IM4" s="13" t="b">
        <f>IFERROR(IF(AND(VLOOKUP(IM6,$NW$21:$NX$35,2,0)="Yes",NOT(ISNUMBER(VLOOKUP(DATE($A$2,$A$3+$A$1-1,IM5),HolidayList[Date],1,0)))),TRUE,FALSE),FALSE)</f>
        <v>0</v>
      </c>
      <c r="IN4" s="13" t="b">
        <f>IFERROR(IF(AND(VLOOKUP(IN6,$NW$21:$NX$35,2,0)="Yes",NOT(ISNUMBER(VLOOKUP(DATE($A$2,$A$3+$A$1-1,IN5),HolidayList[Date],1,0)))),TRUE,FALSE),FALSE)</f>
        <v>0</v>
      </c>
      <c r="IO4" s="13" t="b">
        <f>IFERROR(IF(AND(VLOOKUP(IO6,$NW$21:$NX$35,2,0)="Yes",NOT(ISNUMBER(VLOOKUP(DATE($A$2,$A$3+$A$1-1,IO5),HolidayList[Date],1,0)))),TRUE,FALSE),FALSE)</f>
        <v>0</v>
      </c>
      <c r="IP4" s="13" t="b">
        <f>IFERROR(IF(AND(VLOOKUP(IP6,$NW$21:$NX$35,2,0)="Yes",NOT(ISNUMBER(VLOOKUP(DATE($A$2,$A$3+$A$1-1,IP5),HolidayList[Date],1,0)))),TRUE,FALSE),FALSE)</f>
        <v>0</v>
      </c>
      <c r="IQ4" s="13" t="b">
        <f>IFERROR(IF(AND(VLOOKUP(IQ6,$NW$21:$NX$35,2,0)="Yes",NOT(ISNUMBER(VLOOKUP(DATE($A$2,$A$3+$A$1-1,IQ5),HolidayList[Date],1,0)))),TRUE,FALSE),FALSE)</f>
        <v>0</v>
      </c>
      <c r="IR4" s="13" t="b">
        <f>IFERROR(IF(AND(VLOOKUP(IR6,$NW$21:$NX$35,2,0)="Yes",NOT(ISNUMBER(VLOOKUP(DATE($A$2,$A$3+$A$1-1,IR5),HolidayList[Date],1,0)))),TRUE,FALSE),FALSE)</f>
        <v>0</v>
      </c>
      <c r="IS4" s="13" t="b">
        <f>IFERROR(IF(AND(VLOOKUP(IS6,$NW$21:$NX$35,2,0)="Yes",NOT(ISNUMBER(VLOOKUP(DATE($A$2,$A$3+$A$1-1,IS5),HolidayList[Date],1,0)))),TRUE,FALSE),FALSE)</f>
        <v>0</v>
      </c>
      <c r="IT4" s="13" t="b">
        <f>IFERROR(IF(AND(VLOOKUP(IT6,$NW$21:$NX$35,2,0)="Yes",NOT(ISNUMBER(VLOOKUP(DATE($A$2,$A$3+$A$1-1,IT5),HolidayList[Date],1,0)))),TRUE,FALSE),FALSE)</f>
        <v>0</v>
      </c>
      <c r="IU4" s="13" t="b">
        <f>IFERROR(IF(AND(VLOOKUP(IU6,$NW$21:$NX$35,2,0)="Yes",NOT(ISNUMBER(VLOOKUP(DATE($A$2,$A$3+$A$1-1,IU5),HolidayList[Date],1,0)))),TRUE,FALSE),FALSE)</f>
        <v>0</v>
      </c>
      <c r="IV4" s="13" t="b">
        <f>IFERROR(IF(AND(VLOOKUP(IV6,$NW$21:$NX$35,2,0)="Yes",NOT(ISNUMBER(VLOOKUP(DATE($A$2,$A$3+$A$1-1,IV5),HolidayList[Date],1,0)))),TRUE,FALSE),FALSE)</f>
        <v>0</v>
      </c>
      <c r="IW4" s="13" t="b">
        <f>IFERROR(IF(AND(VLOOKUP(IW6,$NW$21:$NX$35,2,0)="Yes",NOT(ISNUMBER(VLOOKUP(DATE($A$2,$A$3+$A$1-1,IW5),HolidayList[Date],1,0)))),TRUE,FALSE),FALSE)</f>
        <v>0</v>
      </c>
      <c r="IX4" s="13" t="b">
        <f>IFERROR(IF(AND(VLOOKUP(IX6,$NW$21:$NX$35,2,0)="Yes",NOT(ISNUMBER(VLOOKUP(DATE($A$2,$A$3+$A$1-1,IX5),HolidayList[Date],1,0)))),TRUE,FALSE),FALSE)</f>
        <v>0</v>
      </c>
      <c r="IY4" s="13" t="b">
        <f>IFERROR(IF(AND(VLOOKUP(IY6,$NW$21:$NX$35,2,0)="Yes",NOT(ISNUMBER(VLOOKUP(DATE($A$2,$A$3+$A$1-1,IY5),HolidayList[Date],1,0)))),TRUE,FALSE),FALSE)</f>
        <v>0</v>
      </c>
      <c r="IZ4" s="13" t="b">
        <f>IFERROR(IF(AND(VLOOKUP(IZ6,$NW$21:$NX$35,2,0)="Yes",NOT(ISNUMBER(VLOOKUP(DATE($A$2,$A$3+$A$1-1,IZ5),HolidayList[Date],1,0)))),TRUE,FALSE),FALSE)</f>
        <v>0</v>
      </c>
      <c r="JA4" s="13" t="b">
        <f>IFERROR(IF(AND(VLOOKUP(JA6,$NW$21:$NX$35,2,0)="Yes",NOT(ISNUMBER(VLOOKUP(DATE($A$2,$A$3+$A$1-1,JA5),HolidayList[Date],1,0)))),TRUE,FALSE),FALSE)</f>
        <v>0</v>
      </c>
      <c r="JB4" s="13" t="b">
        <f>IFERROR(IF(AND(VLOOKUP(JB6,$NW$21:$NX$35,2,0)="Yes",NOT(ISNUMBER(VLOOKUP(DATE($A$2,$A$3+$A$1-1,JB5),HolidayList[Date],1,0)))),TRUE,FALSE),FALSE)</f>
        <v>0</v>
      </c>
      <c r="JC4" s="13" t="b">
        <f>IFERROR(IF(AND(VLOOKUP(JC6,$NW$21:$NX$35,2,0)="Yes",NOT(ISNUMBER(VLOOKUP(DATE($A$2,$A$3+$A$1-1,JC5),HolidayList[Date],1,0)))),TRUE,FALSE),FALSE)</f>
        <v>0</v>
      </c>
      <c r="JD4" s="13" t="b">
        <f>IFERROR(IF(AND(VLOOKUP(JD6,$NW$21:$NX$35,2,0)="Yes",NOT(ISNUMBER(VLOOKUP(DATE($A$2,$A$3+$A$1-1,JD5),HolidayList[Date],1,0)))),TRUE,FALSE),FALSE)</f>
        <v>0</v>
      </c>
      <c r="JE4" s="13" t="b">
        <f>IFERROR(IF(AND(VLOOKUP(JE6,$NW$21:$NX$35,2,0)="Yes",NOT(ISNUMBER(VLOOKUP(DATE($A$2,$A$3+$A$1-1,JE5),HolidayList[Date],1,0)))),TRUE,FALSE),FALSE)</f>
        <v>0</v>
      </c>
      <c r="JF4" s="13" t="b">
        <f>IFERROR(IF(AND(VLOOKUP(JF6,$NW$21:$NX$35,2,0)="Yes",NOT(ISNUMBER(VLOOKUP(DATE($A$2,$A$3+$A$1-1,JF5),HolidayList[Date],1,0)))),TRUE,FALSE),FALSE)</f>
        <v>0</v>
      </c>
      <c r="JG4" s="13" t="b">
        <f>IFERROR(IF(AND(VLOOKUP(JG6,$NW$21:$NX$35,2,0)="Yes",NOT(ISNUMBER(VLOOKUP(DATE($A$2,$A$3+$A$1-1,JG5),HolidayList[Date],1,0)))),TRUE,FALSE),FALSE)</f>
        <v>0</v>
      </c>
      <c r="JH4" s="13" t="b">
        <f>IFERROR(IF(AND(VLOOKUP(JH6,$NW$21:$NX$35,2,0)="Yes",NOT(ISNUMBER(VLOOKUP(DATE($A$2,$A$3+$A$1-1,JH5),HolidayList[Date],1,0)))),TRUE,FALSE),FALSE)</f>
        <v>0</v>
      </c>
      <c r="JI4" s="13" t="b">
        <f>IFERROR(IF(AND(VLOOKUP(JI6,$NW$21:$NX$35,2,0)="Yes",NOT(ISNUMBER(VLOOKUP(DATE($A$2,$A$3+$A$1-1,JI5),HolidayList[Date],1,0)))),TRUE,FALSE),FALSE)</f>
        <v>0</v>
      </c>
      <c r="JJ4" s="13" t="b">
        <f>IFERROR(IF(AND(VLOOKUP(JJ6,$NW$21:$NX$35,2,0)="Yes",NOT(ISNUMBER(VLOOKUP(DATE($A$2,$A$3+$A$1-1,JJ5),HolidayList[Date],1,0)))),TRUE,FALSE),FALSE)</f>
        <v>0</v>
      </c>
      <c r="JK4" s="13" t="b">
        <f>IFERROR(IF(AND(VLOOKUP(JK6,$NW$21:$NX$35,2,0)="Yes",NOT(ISNUMBER(VLOOKUP(DATE($A$2,$A$3+$A$1-1,JK5),HolidayList[Date],1,0)))),TRUE,FALSE),FALSE)</f>
        <v>0</v>
      </c>
      <c r="JL4" s="13" t="b">
        <f>IFERROR(IF(AND(VLOOKUP(JL6,$NW$21:$NX$35,2,0)="Yes",NOT(ISNUMBER(VLOOKUP(DATE($A$2,$A$3+$A$1-1,JL5),HolidayList[Date],1,0)))),TRUE,FALSE),FALSE)</f>
        <v>0</v>
      </c>
      <c r="JM4" s="13" t="b">
        <f>IFERROR(IF(AND(VLOOKUP(JM6,$NW$21:$NX$35,2,0)="Yes",NOT(ISNUMBER(VLOOKUP(DATE($A$2,$A$3+$A$1-1,JM5),HolidayList[Date],1,0)))),TRUE,FALSE),FALSE)</f>
        <v>0</v>
      </c>
      <c r="JN4" s="13" t="b">
        <f>IFERROR(IF(AND(VLOOKUP(JN6,$NW$21:$NX$35,2,0)="Yes",NOT(ISNUMBER(VLOOKUP(DATE($A$2,$A$3+$A$1-1,JN5),HolidayList[Date],1,0)))),TRUE,FALSE),FALSE)</f>
        <v>0</v>
      </c>
      <c r="JO4" s="13" t="b">
        <f>IFERROR(IF(AND(VLOOKUP(JO6,$NW$21:$NX$35,2,0)="Yes",NOT(ISNUMBER(VLOOKUP(DATE($A$2,$A$3+$A$1-1,JO5),HolidayList[Date],1,0)))),TRUE,FALSE),FALSE)</f>
        <v>0</v>
      </c>
      <c r="JP4" s="13" t="b">
        <f>IFERROR(IF(AND(VLOOKUP(JP6,$NW$21:$NX$35,2,0)="Yes",NOT(ISNUMBER(VLOOKUP(DATE($A$2,$A$3+$A$1-1,JP5),HolidayList[Date],1,0)))),TRUE,FALSE),FALSE)</f>
        <v>0</v>
      </c>
      <c r="JQ4" s="13" t="b">
        <f>IFERROR(IF(AND(VLOOKUP(JQ6,$NW$21:$NX$35,2,0)="Yes",NOT(ISNUMBER(VLOOKUP(DATE($A$2,$A$3+$A$1-1,JQ5),HolidayList[Date],1,0)))),TRUE,FALSE),FALSE)</f>
        <v>0</v>
      </c>
      <c r="JR4" s="13" t="b">
        <f>IFERROR(IF(AND(VLOOKUP(JR6,$NW$21:$NX$35,2,0)="Yes",NOT(ISNUMBER(VLOOKUP(DATE($A$2,$A$3+$A$1-1,JR5),HolidayList[Date],1,0)))),TRUE,FALSE),FALSE)</f>
        <v>0</v>
      </c>
      <c r="JS4" s="13" t="b">
        <f>IFERROR(IF(AND(VLOOKUP(JS6,$NW$21:$NX$35,2,0)="Yes",NOT(ISNUMBER(VLOOKUP(DATE($A$2,$A$3+$A$1-1,JS5),HolidayList[Date],1,0)))),TRUE,FALSE),FALSE)</f>
        <v>0</v>
      </c>
      <c r="JT4" s="13" t="b">
        <f>IFERROR(IF(AND(VLOOKUP(JT6,$NW$21:$NX$35,2,0)="Yes",NOT(ISNUMBER(VLOOKUP(DATE($A$2,$A$3+$A$1-1,JT5),HolidayList[Date],1,0)))),TRUE,FALSE),FALSE)</f>
        <v>0</v>
      </c>
      <c r="JU4" s="13" t="b">
        <f>IFERROR(IF(AND(VLOOKUP(JU6,$NW$21:$NX$35,2,0)="Yes",NOT(ISNUMBER(VLOOKUP(DATE($A$2,$A$3+$A$1-1,JU5),HolidayList[Date],1,0)))),TRUE,FALSE),FALSE)</f>
        <v>0</v>
      </c>
      <c r="JV4" s="13" t="b">
        <f>IFERROR(IF(AND(VLOOKUP(JV6,$NW$21:$NX$35,2,0)="Yes",NOT(ISNUMBER(VLOOKUP(DATE($A$2,$A$3+$A$1-1,JV5),HolidayList[Date],1,0)))),TRUE,FALSE),FALSE)</f>
        <v>0</v>
      </c>
      <c r="JW4" s="13" t="b">
        <f>IFERROR(IF(AND(VLOOKUP(JW6,$NW$21:$NX$35,2,0)="Yes",NOT(ISNUMBER(VLOOKUP(DATE($A$2,$A$3+$A$1-1,JW5),HolidayList[Date],1,0)))),TRUE,FALSE),FALSE)</f>
        <v>0</v>
      </c>
      <c r="JX4" s="13" t="b">
        <f>IFERROR(IF(AND(VLOOKUP(JX6,$NW$21:$NX$35,2,0)="Yes",NOT(ISNUMBER(VLOOKUP(DATE($A$2,$A$3+$A$1-1,JX5),HolidayList[Date],1,0)))),TRUE,FALSE),FALSE)</f>
        <v>0</v>
      </c>
      <c r="JY4" s="13" t="b">
        <f>IFERROR(IF(AND(VLOOKUP(JY6,$NW$21:$NX$35,2,0)="Yes",NOT(ISNUMBER(VLOOKUP(DATE($A$2,$A$3+$A$1-1,JY5),HolidayList[Date],1,0)))),TRUE,FALSE),FALSE)</f>
        <v>0</v>
      </c>
      <c r="JZ4" s="13" t="b">
        <f>IFERROR(IF(AND(VLOOKUP(JZ6,$NW$21:$NX$35,2,0)="Yes",NOT(ISNUMBER(VLOOKUP(DATE($A$2,$A$3+$A$1-1,JZ5),HolidayList[Date],1,0)))),TRUE,FALSE),FALSE)</f>
        <v>0</v>
      </c>
      <c r="KA4" s="13" t="b">
        <f>IFERROR(IF(AND(VLOOKUP(KA6,$NW$21:$NX$35,2,0)="Yes",NOT(ISNUMBER(VLOOKUP(DATE($A$2,$A$3+$A$1-1,KA5),HolidayList[Date],1,0)))),TRUE,FALSE),FALSE)</f>
        <v>0</v>
      </c>
      <c r="KB4" s="13" t="b">
        <f>IFERROR(IF(AND(VLOOKUP(KB6,$NW$21:$NX$35,2,0)="Yes",NOT(ISNUMBER(VLOOKUP(DATE($A$2,$A$3+$A$1-1,KB5),HolidayList[Date],1,0)))),TRUE,FALSE),FALSE)</f>
        <v>0</v>
      </c>
      <c r="KC4" s="13" t="b">
        <f>IFERROR(IF(AND(VLOOKUP(KC6,$NW$21:$NX$35,2,0)="Yes",NOT(ISNUMBER(VLOOKUP(DATE($A$2,$A$3+$A$1-1,KC5),HolidayList[Date],1,0)))),TRUE,FALSE),FALSE)</f>
        <v>0</v>
      </c>
      <c r="KD4" s="13" t="b">
        <f>IFERROR(IF(AND(VLOOKUP(KD6,$NW$21:$NX$35,2,0)="Yes",NOT(ISNUMBER(VLOOKUP(DATE($A$2,$A$3+$A$1-1,KD5),HolidayList[Date],1,0)))),TRUE,FALSE),FALSE)</f>
        <v>0</v>
      </c>
      <c r="KE4" s="13" t="b">
        <f>IFERROR(IF(AND(VLOOKUP(KE6,$NW$21:$NX$35,2,0)="Yes",NOT(ISNUMBER(VLOOKUP(DATE($A$2,$A$3+$A$1-1,KE5),HolidayList[Date],1,0)))),TRUE,FALSE),FALSE)</f>
        <v>0</v>
      </c>
      <c r="KF4" s="13" t="b">
        <f>IFERROR(IF(AND(VLOOKUP(KF6,$NW$21:$NX$35,2,0)="Yes",NOT(ISNUMBER(VLOOKUP(DATE($A$2,$A$3+$A$1-1,KF5),HolidayList[Date],1,0)))),TRUE,FALSE),FALSE)</f>
        <v>0</v>
      </c>
      <c r="KG4" s="13" t="b">
        <f>IFERROR(IF(AND(VLOOKUP(KG6,$NW$21:$NX$35,2,0)="Yes",NOT(ISNUMBER(VLOOKUP(DATE($A$2,$A$3+$A$1-1,KG5),HolidayList[Date],1,0)))),TRUE,FALSE),FALSE)</f>
        <v>0</v>
      </c>
      <c r="KH4" s="13" t="b">
        <f>IFERROR(IF(AND(VLOOKUP(KH6,$NW$21:$NX$35,2,0)="Yes",NOT(ISNUMBER(VLOOKUP(DATE($A$2,$A$3+$A$1-1,KH5),HolidayList[Date],1,0)))),TRUE,FALSE),FALSE)</f>
        <v>0</v>
      </c>
      <c r="KI4" s="13" t="b">
        <f>IFERROR(IF(AND(VLOOKUP(KI6,$NW$21:$NX$35,2,0)="Yes",NOT(ISNUMBER(VLOOKUP(DATE($A$2,$A$3+$A$1-1,KI5),HolidayList[Date],1,0)))),TRUE,FALSE),FALSE)</f>
        <v>0</v>
      </c>
      <c r="KJ4" s="13" t="b">
        <f>IFERROR(IF(AND(VLOOKUP(KJ6,$NW$21:$NX$35,2,0)="Yes",NOT(ISNUMBER(VLOOKUP(DATE($A$2,$A$3+$A$1-1,KJ5),HolidayList[Date],1,0)))),TRUE,FALSE),FALSE)</f>
        <v>0</v>
      </c>
      <c r="KK4" s="13" t="b">
        <f>IFERROR(IF(AND(VLOOKUP(KK6,$NW$21:$NX$35,2,0)="Yes",NOT(ISNUMBER(VLOOKUP(DATE($A$2,$A$3+$A$1-1,KK5),HolidayList[Date],1,0)))),TRUE,FALSE),FALSE)</f>
        <v>0</v>
      </c>
      <c r="KL4" s="13" t="b">
        <f>IFERROR(IF(AND(VLOOKUP(KL6,$NW$21:$NX$35,2,0)="Yes",NOT(ISNUMBER(VLOOKUP(DATE($A$2,$A$3+$A$1-1,KL5),HolidayList[Date],1,0)))),TRUE,FALSE),FALSE)</f>
        <v>0</v>
      </c>
      <c r="KM4" s="13" t="b">
        <f>IFERROR(IF(AND(VLOOKUP(KM6,$NW$21:$NX$35,2,0)="Yes",NOT(ISNUMBER(VLOOKUP(DATE($A$2,$A$3+$A$1-1,KM5),HolidayList[Date],1,0)))),TRUE,FALSE),FALSE)</f>
        <v>0</v>
      </c>
      <c r="KN4" s="13" t="b">
        <f>IFERROR(IF(AND(VLOOKUP(KN6,$NW$21:$NX$35,2,0)="Yes",NOT(ISNUMBER(VLOOKUP(DATE($A$2,$A$3+$A$1-1,KN5),HolidayList[Date],1,0)))),TRUE,FALSE),FALSE)</f>
        <v>0</v>
      </c>
      <c r="KO4" s="13" t="b">
        <f>IFERROR(IF(AND(VLOOKUP(KO6,$NW$21:$NX$35,2,0)="Yes",NOT(ISNUMBER(VLOOKUP(DATE($A$2,$A$3+$A$1-1,KO5),HolidayList[Date],1,0)))),TRUE,FALSE),FALSE)</f>
        <v>0</v>
      </c>
      <c r="KP4" s="13" t="b">
        <f>IFERROR(IF(AND(VLOOKUP(KP6,$NW$21:$NX$35,2,0)="Yes",NOT(ISNUMBER(VLOOKUP(DATE($A$2,$A$3+$A$1-1,KP5),HolidayList[Date],1,0)))),TRUE,FALSE),FALSE)</f>
        <v>0</v>
      </c>
      <c r="KQ4" s="13" t="b">
        <f>IFERROR(IF(AND(VLOOKUP(KQ6,$NW$21:$NX$35,2,0)="Yes",NOT(ISNUMBER(VLOOKUP(DATE($A$2,$A$3+$A$1-1,KQ5),HolidayList[Date],1,0)))),TRUE,FALSE),FALSE)</f>
        <v>0</v>
      </c>
      <c r="KR4" s="13" t="b">
        <f>IFERROR(IF(AND(VLOOKUP(KR6,$NW$21:$NX$35,2,0)="Yes",NOT(ISNUMBER(VLOOKUP(DATE($A$2,$A$3+$A$1-1,KR5),HolidayList[Date],1,0)))),TRUE,FALSE),FALSE)</f>
        <v>0</v>
      </c>
      <c r="KS4" s="13" t="b">
        <f>IFERROR(IF(AND(VLOOKUP(KS6,$NW$21:$NX$35,2,0)="Yes",NOT(ISNUMBER(VLOOKUP(DATE($A$2,$A$3+$A$1-1,KS5),HolidayList[Date],1,0)))),TRUE,FALSE),FALSE)</f>
        <v>0</v>
      </c>
      <c r="KT4" s="13" t="b">
        <f>IFERROR(IF(AND(VLOOKUP(KT6,$NW$21:$NX$35,2,0)="Yes",NOT(ISNUMBER(VLOOKUP(DATE($A$2,$A$3+$A$1-1,KT5),HolidayList[Date],1,0)))),TRUE,FALSE),FALSE)</f>
        <v>0</v>
      </c>
      <c r="KU4" s="13" t="b">
        <f>IFERROR(IF(AND(VLOOKUP(KU6,$NW$21:$NX$35,2,0)="Yes",NOT(ISNUMBER(VLOOKUP(DATE($A$2,$A$3+$A$1-1,KU5),HolidayList[Date],1,0)))),TRUE,FALSE),FALSE)</f>
        <v>0</v>
      </c>
      <c r="KV4" s="13" t="b">
        <f>IFERROR(IF(AND(VLOOKUP(KV6,$NW$21:$NX$35,2,0)="Yes",NOT(ISNUMBER(VLOOKUP(DATE($A$2,$A$3+$A$1-1,KV5),HolidayList[Date],1,0)))),TRUE,FALSE),FALSE)</f>
        <v>0</v>
      </c>
      <c r="KW4" s="13" t="b">
        <f>IFERROR(IF(AND(VLOOKUP(KW6,$NW$21:$NX$35,2,0)="Yes",NOT(ISNUMBER(VLOOKUP(DATE($A$2,$A$3+$A$1-1,KW5),HolidayList[Date],1,0)))),TRUE,FALSE),FALSE)</f>
        <v>0</v>
      </c>
      <c r="KX4" s="13" t="b">
        <f>IFERROR(IF(AND(VLOOKUP(KX6,$NW$21:$NX$35,2,0)="Yes",NOT(ISNUMBER(VLOOKUP(DATE($A$2,$A$3+$A$1-1,KX5),HolidayList[Date],1,0)))),TRUE,FALSE),FALSE)</f>
        <v>0</v>
      </c>
      <c r="KY4" s="13" t="b">
        <f>IFERROR(IF(AND(VLOOKUP(KY6,$NW$21:$NX$35,2,0)="Yes",NOT(ISNUMBER(VLOOKUP(DATE($A$2,$A$3+$A$1-1,KY5),HolidayList[Date],1,0)))),TRUE,FALSE),FALSE)</f>
        <v>0</v>
      </c>
      <c r="KZ4" s="13" t="b">
        <f>IFERROR(IF(AND(VLOOKUP(KZ6,$NW$21:$NX$35,2,0)="Yes",NOT(ISNUMBER(VLOOKUP(DATE($A$2,$A$3+$A$1-1,KZ5),HolidayList[Date],1,0)))),TRUE,FALSE),FALSE)</f>
        <v>0</v>
      </c>
      <c r="LA4" s="13" t="b">
        <f>IFERROR(IF(AND(VLOOKUP(LA6,$NW$21:$NX$35,2,0)="Yes",NOT(ISNUMBER(VLOOKUP(DATE($A$2,$A$3+$A$1-1,LA5),HolidayList[Date],1,0)))),TRUE,FALSE),FALSE)</f>
        <v>0</v>
      </c>
      <c r="LB4" s="13" t="b">
        <f>IFERROR(IF(AND(VLOOKUP(LB6,$NW$21:$NX$35,2,0)="Yes",NOT(ISNUMBER(VLOOKUP(DATE($A$2,$A$3+$A$1-1,LB5),HolidayList[Date],1,0)))),TRUE,FALSE),FALSE)</f>
        <v>0</v>
      </c>
      <c r="LC4" s="13" t="b">
        <f>IFERROR(IF(AND(VLOOKUP(LC6,$NW$21:$NX$35,2,0)="Yes",NOT(ISNUMBER(VLOOKUP(DATE($A$2,$A$3+$A$1-1,LC5),HolidayList[Date],1,0)))),TRUE,FALSE),FALSE)</f>
        <v>0</v>
      </c>
      <c r="LD4" s="13" t="b">
        <f>IFERROR(IF(AND(VLOOKUP(LD6,$NW$21:$NX$35,2,0)="Yes",NOT(ISNUMBER(VLOOKUP(DATE($A$2,$A$3+$A$1-1,LD5),HolidayList[Date],1,0)))),TRUE,FALSE),FALSE)</f>
        <v>0</v>
      </c>
      <c r="LE4" s="13" t="b">
        <f>IFERROR(IF(AND(VLOOKUP(LE6,$NW$21:$NX$35,2,0)="Yes",NOT(ISNUMBER(VLOOKUP(DATE($A$2,$A$3+$A$1-1,LE5),HolidayList[Date],1,0)))),TRUE,FALSE),FALSE)</f>
        <v>0</v>
      </c>
      <c r="LF4" s="13" t="b">
        <f>IFERROR(IF(AND(VLOOKUP(LF6,$NW$21:$NX$35,2,0)="Yes",NOT(ISNUMBER(VLOOKUP(DATE($A$2,$A$3+$A$1-1,LF5),HolidayList[Date],1,0)))),TRUE,FALSE),FALSE)</f>
        <v>0</v>
      </c>
      <c r="LG4" s="13" t="b">
        <f>IFERROR(IF(AND(VLOOKUP(LG6,$NW$21:$NX$35,2,0)="Yes",NOT(ISNUMBER(VLOOKUP(DATE($A$2,$A$3+$A$1-1,LG5),HolidayList[Date],1,0)))),TRUE,FALSE),FALSE)</f>
        <v>0</v>
      </c>
      <c r="LH4" s="13" t="b">
        <f>IFERROR(IF(AND(VLOOKUP(LH6,$NW$21:$NX$35,2,0)="Yes",NOT(ISNUMBER(VLOOKUP(DATE($A$2,$A$3+$A$1-1,LH5),HolidayList[Date],1,0)))),TRUE,FALSE),FALSE)</f>
        <v>0</v>
      </c>
      <c r="LI4" s="13" t="b">
        <f>IFERROR(IF(AND(VLOOKUP(LI6,$NW$21:$NX$35,2,0)="Yes",NOT(ISNUMBER(VLOOKUP(DATE($A$2,$A$3+$A$1-1,LI5),HolidayList[Date],1,0)))),TRUE,FALSE),FALSE)</f>
        <v>0</v>
      </c>
      <c r="LJ4" s="13" t="b">
        <f>IFERROR(IF(AND(VLOOKUP(LJ6,$NW$21:$NX$35,2,0)="Yes",NOT(ISNUMBER(VLOOKUP(DATE($A$2,$A$3+$A$1-1,LJ5),HolidayList[Date],1,0)))),TRUE,FALSE),FALSE)</f>
        <v>0</v>
      </c>
      <c r="LK4" s="13" t="b">
        <f>IFERROR(IF(AND(VLOOKUP(LK6,$NW$21:$NX$35,2,0)="Yes",NOT(ISNUMBER(VLOOKUP(DATE($A$2,$A$3+$A$1-1,LK5),HolidayList[Date],1,0)))),TRUE,FALSE),FALSE)</f>
        <v>0</v>
      </c>
      <c r="LL4" s="13" t="b">
        <f>IFERROR(IF(AND(VLOOKUP(LL6,$NW$21:$NX$35,2,0)="Yes",NOT(ISNUMBER(VLOOKUP(DATE($A$2,$A$3+$A$1-1,LL5),HolidayList[Date],1,0)))),TRUE,FALSE),FALSE)</f>
        <v>0</v>
      </c>
      <c r="LM4" s="13" t="b">
        <f>IFERROR(IF(AND(VLOOKUP(LM6,$NW$21:$NX$35,2,0)="Yes",NOT(ISNUMBER(VLOOKUP(DATE($A$2,$A$3+$A$1-1,LM5),HolidayList[Date],1,0)))),TRUE,FALSE),FALSE)</f>
        <v>0</v>
      </c>
      <c r="LN4" s="13" t="b">
        <f>IFERROR(IF(AND(VLOOKUP(LN6,$NW$21:$NX$35,2,0)="Yes",NOT(ISNUMBER(VLOOKUP(DATE($A$2,$A$3+$A$1-1,LN5),HolidayList[Date],1,0)))),TRUE,FALSE),FALSE)</f>
        <v>0</v>
      </c>
      <c r="LO4" s="13" t="b">
        <f>IFERROR(IF(AND(VLOOKUP(LO6,$NW$21:$NX$35,2,0)="Yes",NOT(ISNUMBER(VLOOKUP(DATE($A$2,$A$3+$A$1-1,LO5),HolidayList[Date],1,0)))),TRUE,FALSE),FALSE)</f>
        <v>0</v>
      </c>
      <c r="LP4" s="13" t="b">
        <f>IFERROR(IF(AND(VLOOKUP(LP6,$NW$21:$NX$35,2,0)="Yes",NOT(ISNUMBER(VLOOKUP(DATE($A$2,$A$3+$A$1-1,LP5),HolidayList[Date],1,0)))),TRUE,FALSE),FALSE)</f>
        <v>0</v>
      </c>
      <c r="LQ4" s="13" t="b">
        <f>IFERROR(IF(AND(VLOOKUP(LQ6,$NW$21:$NX$35,2,0)="Yes",NOT(ISNUMBER(VLOOKUP(DATE($A$2,$A$3+$A$1-1,LQ5),HolidayList[Date],1,0)))),TRUE,FALSE),FALSE)</f>
        <v>0</v>
      </c>
      <c r="LR4" s="13" t="b">
        <f>IFERROR(IF(AND(VLOOKUP(LR6,$NW$21:$NX$35,2,0)="Yes",NOT(ISNUMBER(VLOOKUP(DATE($A$2,$A$3+$A$1-1,LR5),HolidayList[Date],1,0)))),TRUE,FALSE),FALSE)</f>
        <v>0</v>
      </c>
      <c r="LS4" s="13" t="b">
        <f>IFERROR(IF(AND(VLOOKUP(LS6,$NW$21:$NX$35,2,0)="Yes",NOT(ISNUMBER(VLOOKUP(DATE($A$2,$A$3+$A$1-1,LS5),HolidayList[Date],1,0)))),TRUE,FALSE),FALSE)</f>
        <v>0</v>
      </c>
      <c r="LT4" s="13" t="b">
        <f>IFERROR(IF(AND(VLOOKUP(LT6,$NW$21:$NX$35,2,0)="Yes",NOT(ISNUMBER(VLOOKUP(DATE($A$2,$A$3+$A$1-1,LT5),HolidayList[Date],1,0)))),TRUE,FALSE),FALSE)</f>
        <v>0</v>
      </c>
      <c r="LU4" s="13" t="b">
        <f>IFERROR(IF(AND(VLOOKUP(LU6,$NW$21:$NX$35,2,0)="Yes",NOT(ISNUMBER(VLOOKUP(DATE($A$2,$A$3+$A$1-1,LU5),HolidayList[Date],1,0)))),TRUE,FALSE),FALSE)</f>
        <v>0</v>
      </c>
      <c r="LV4" s="13" t="b">
        <f>IFERROR(IF(AND(VLOOKUP(LV6,$NW$21:$NX$35,2,0)="Yes",NOT(ISNUMBER(VLOOKUP(DATE($A$2,$A$3+$A$1-1,LV5),HolidayList[Date],1,0)))),TRUE,FALSE),FALSE)</f>
        <v>0</v>
      </c>
      <c r="LW4" s="13" t="b">
        <f>IFERROR(IF(AND(VLOOKUP(LW6,$NW$21:$NX$35,2,0)="Yes",NOT(ISNUMBER(VLOOKUP(DATE($A$2,$A$3+$A$1-1,LW5),HolidayList[Date],1,0)))),TRUE,FALSE),FALSE)</f>
        <v>0</v>
      </c>
      <c r="LX4" s="13" t="b">
        <f>IFERROR(IF(AND(VLOOKUP(LX6,$NW$21:$NX$35,2,0)="Yes",NOT(ISNUMBER(VLOOKUP(DATE($A$2,$A$3+$A$1-1,LX5),HolidayList[Date],1,0)))),TRUE,FALSE),FALSE)</f>
        <v>0</v>
      </c>
      <c r="LY4" s="13" t="b">
        <f>IFERROR(IF(AND(VLOOKUP(LY6,$NW$21:$NX$35,2,0)="Yes",NOT(ISNUMBER(VLOOKUP(DATE($A$2,$A$3+$A$1-1,LY5),HolidayList[Date],1,0)))),TRUE,FALSE),FALSE)</f>
        <v>0</v>
      </c>
      <c r="LZ4" s="13" t="b">
        <f>IFERROR(IF(AND(VLOOKUP(LZ6,$NW$21:$NX$35,2,0)="Yes",NOT(ISNUMBER(VLOOKUP(DATE($A$2,$A$3+$A$1-1,LZ5),HolidayList[Date],1,0)))),TRUE,FALSE),FALSE)</f>
        <v>0</v>
      </c>
      <c r="MA4" s="13" t="b">
        <f>IFERROR(IF(AND(VLOOKUP(MA6,$NW$21:$NX$35,2,0)="Yes",NOT(ISNUMBER(VLOOKUP(DATE($A$2,$A$3+$A$1-1,MA5),HolidayList[Date],1,0)))),TRUE,FALSE),FALSE)</f>
        <v>0</v>
      </c>
      <c r="MB4" s="13" t="b">
        <f>IFERROR(IF(AND(VLOOKUP(MB6,$NW$21:$NX$35,2,0)="Yes",NOT(ISNUMBER(VLOOKUP(DATE($A$2,$A$3+$A$1-1,MB5),HolidayList[Date],1,0)))),TRUE,FALSE),FALSE)</f>
        <v>0</v>
      </c>
      <c r="MC4" s="13" t="b">
        <f>IFERROR(IF(AND(VLOOKUP(MC6,$NW$21:$NX$35,2,0)="Yes",NOT(ISNUMBER(VLOOKUP(DATE($A$2,$A$3+$A$1-1,MC5),HolidayList[Date],1,0)))),TRUE,FALSE),FALSE)</f>
        <v>0</v>
      </c>
      <c r="MD4" s="13" t="b">
        <f>IFERROR(IF(AND(VLOOKUP(MD6,$NW$21:$NX$35,2,0)="Yes",NOT(ISNUMBER(VLOOKUP(DATE($A$2,$A$3+$A$1-1,MD5),HolidayList[Date],1,0)))),TRUE,FALSE),FALSE)</f>
        <v>0</v>
      </c>
      <c r="ME4" s="13" t="b">
        <f>IFERROR(IF(AND(VLOOKUP(ME6,$NW$21:$NX$35,2,0)="Yes",NOT(ISNUMBER(VLOOKUP(DATE($A$2,$A$3+$A$1-1,ME5),HolidayList[Date],1,0)))),TRUE,FALSE),FALSE)</f>
        <v>1</v>
      </c>
      <c r="MF4" s="13" t="b">
        <f>IFERROR(IF(AND(VLOOKUP(MF6,$NW$21:$NX$35,2,0)="Yes",NOT(ISNUMBER(VLOOKUP(DATE($A$2,$A$3+$A$1-1,MF5),HolidayList[Date],1,0)))),TRUE,FALSE),FALSE)</f>
        <v>1</v>
      </c>
      <c r="MG4" s="13" t="b">
        <f>IFERROR(IF(AND(VLOOKUP(MG6,$NW$21:$NX$35,2,0)="Yes",NOT(ISNUMBER(VLOOKUP(DATE($A$2,$A$3+$A$1-1,MG5),HolidayList[Date],1,0)))),TRUE,FALSE),FALSE)</f>
        <v>1</v>
      </c>
      <c r="MH4" s="13" t="b">
        <f>IFERROR(IF(AND(VLOOKUP(MH6,$NW$21:$NX$35,2,0)="Yes",NOT(ISNUMBER(VLOOKUP(DATE($A$2,$A$3+$A$1-1,MH5),HolidayList[Date],1,0)))),TRUE,FALSE),FALSE)</f>
        <v>1</v>
      </c>
      <c r="MI4" s="13" t="b">
        <f>IFERROR(IF(AND(VLOOKUP(MI6,$NW$21:$NX$35,2,0)="Yes",NOT(ISNUMBER(VLOOKUP(DATE($A$2,$A$3+$A$1-1,MI5),HolidayList[Date],1,0)))),TRUE,FALSE),FALSE)</f>
        <v>1</v>
      </c>
      <c r="MJ4" s="13" t="b">
        <f>IFERROR(IF(AND(VLOOKUP(MJ6,$NW$21:$NX$35,2,0)="Yes",NOT(ISNUMBER(VLOOKUP(DATE($A$2,$A$3+$A$1-1,MJ5),HolidayList[Date],1,0)))),TRUE,FALSE),FALSE)</f>
        <v>0</v>
      </c>
      <c r="MK4" s="13" t="b">
        <f>IFERROR(IF(AND(VLOOKUP(MK6,$NW$21:$NX$35,2,0)="Yes",NOT(ISNUMBER(VLOOKUP(DATE($A$2,$A$3+$A$1-1,MK5),HolidayList[Date],1,0)))),TRUE,FALSE),FALSE)</f>
        <v>0</v>
      </c>
      <c r="ML4" s="13" t="b">
        <f>IFERROR(IF(AND(VLOOKUP(ML6,$NW$21:$NX$35,2,0)="Yes",NOT(ISNUMBER(VLOOKUP(DATE($A$2,$A$3+$A$1-1,ML5),HolidayList[Date],1,0)))),TRUE,FALSE),FALSE)</f>
        <v>1</v>
      </c>
      <c r="MM4" s="13" t="b">
        <f>IFERROR(IF(AND(VLOOKUP(MM6,$NW$21:$NX$35,2,0)="Yes",NOT(ISNUMBER(VLOOKUP(DATE($A$2,$A$3+$A$1-1,MM5),HolidayList[Date],1,0)))),TRUE,FALSE),FALSE)</f>
        <v>1</v>
      </c>
      <c r="MN4" s="13" t="b">
        <f>IFERROR(IF(AND(VLOOKUP(MN6,$NW$21:$NX$35,2,0)="Yes",NOT(ISNUMBER(VLOOKUP(DATE($A$2,$A$3+$A$1-1,MN5),HolidayList[Date],1,0)))),TRUE,FALSE),FALSE)</f>
        <v>1</v>
      </c>
      <c r="MO4" s="13" t="b">
        <f>IFERROR(IF(AND(VLOOKUP(MO6,$NW$21:$NX$35,2,0)="Yes",NOT(ISNUMBER(VLOOKUP(DATE($A$2,$A$3+$A$1-1,MO5),HolidayList[Date],1,0)))),TRUE,FALSE),FALSE)</f>
        <v>1</v>
      </c>
      <c r="MP4" s="13" t="b">
        <f>IFERROR(IF(AND(VLOOKUP(MP6,$NW$21:$NX$35,2,0)="Yes",NOT(ISNUMBER(VLOOKUP(DATE($A$2,$A$3+$A$1-1,MP5),HolidayList[Date],1,0)))),TRUE,FALSE),FALSE)</f>
        <v>1</v>
      </c>
      <c r="MQ4" s="13" t="b">
        <f>IFERROR(IF(AND(VLOOKUP(MQ6,$NW$21:$NX$35,2,0)="Yes",NOT(ISNUMBER(VLOOKUP(DATE($A$2,$A$3+$A$1-1,MQ5),HolidayList[Date],1,0)))),TRUE,FALSE),FALSE)</f>
        <v>0</v>
      </c>
      <c r="MR4" s="13" t="b">
        <f>IFERROR(IF(AND(VLOOKUP(MR6,$NW$21:$NX$35,2,0)="Yes",NOT(ISNUMBER(VLOOKUP(DATE($A$2,$A$3+$A$1-1,MR5),HolidayList[Date],1,0)))),TRUE,FALSE),FALSE)</f>
        <v>0</v>
      </c>
      <c r="MS4" s="13" t="b">
        <f>IFERROR(IF(AND(VLOOKUP(MS6,$NW$21:$NX$35,2,0)="Yes",NOT(ISNUMBER(VLOOKUP(DATE($A$2,$A$3+$A$1-1,MS5),HolidayList[Date],1,0)))),TRUE,FALSE),FALSE)</f>
        <v>1</v>
      </c>
      <c r="MT4" s="13" t="b">
        <f>IFERROR(IF(AND(VLOOKUP(MT6,$NW$21:$NX$35,2,0)="Yes",NOT(ISNUMBER(VLOOKUP(DATE($A$2,$A$3+$A$1-1,MT5),HolidayList[Date],1,0)))),TRUE,FALSE),FALSE)</f>
        <v>1</v>
      </c>
      <c r="MU4" s="13" t="b">
        <f>IFERROR(IF(AND(VLOOKUP(MU6,$NW$21:$NX$35,2,0)="Yes",NOT(ISNUMBER(VLOOKUP(DATE($A$2,$A$3+$A$1-1,MU5),HolidayList[Date],1,0)))),TRUE,FALSE),FALSE)</f>
        <v>1</v>
      </c>
      <c r="MV4" s="13" t="b">
        <f>IFERROR(IF(AND(VLOOKUP(MV6,$NW$21:$NX$35,2,0)="Yes",NOT(ISNUMBER(VLOOKUP(DATE($A$2,$A$3+$A$1-1,MV5),HolidayList[Date],1,0)))),TRUE,FALSE),FALSE)</f>
        <v>1</v>
      </c>
      <c r="MW4" s="13" t="b">
        <f>IFERROR(IF(AND(VLOOKUP(MW6,$NW$21:$NX$35,2,0)="Yes",NOT(ISNUMBER(VLOOKUP(DATE($A$2,$A$3+$A$1-1,MW5),HolidayList[Date],1,0)))),TRUE,FALSE),FALSE)</f>
        <v>1</v>
      </c>
      <c r="MX4" s="13" t="b">
        <f>IFERROR(IF(AND(VLOOKUP(MX6,$NW$21:$NX$35,2,0)="Yes",NOT(ISNUMBER(VLOOKUP(DATE($A$2,$A$3+$A$1-1,MX5),HolidayList[Date],1,0)))),TRUE,FALSE),FALSE)</f>
        <v>0</v>
      </c>
      <c r="MY4" s="13" t="b">
        <f>IFERROR(IF(AND(VLOOKUP(MY6,$NW$21:$NX$35,2,0)="Yes",NOT(ISNUMBER(VLOOKUP(DATE($A$2,$A$3+$A$1-1,MY5),HolidayList[Date],1,0)))),TRUE,FALSE),FALSE)</f>
        <v>0</v>
      </c>
      <c r="MZ4" s="13" t="b">
        <f>IFERROR(IF(AND(VLOOKUP(MZ6,$NW$21:$NX$35,2,0)="Yes",NOT(ISNUMBER(VLOOKUP(DATE($A$2,$A$3+$A$1-1,MZ5),HolidayList[Date],1,0)))),TRUE,FALSE),FALSE)</f>
        <v>1</v>
      </c>
      <c r="NA4" s="13" t="b">
        <f>IFERROR(IF(AND(VLOOKUP(NA6,$NW$21:$NX$35,2,0)="Yes",NOT(ISNUMBER(VLOOKUP(DATE($A$2,$A$3+$A$1-1,NA5),HolidayList[Date],1,0)))),TRUE,FALSE),FALSE)</f>
        <v>1</v>
      </c>
      <c r="NB4" s="13" t="b">
        <f>IFERROR(IF(AND(VLOOKUP(NB6,$NW$21:$NX$35,2,0)="Yes",NOT(ISNUMBER(VLOOKUP(DATE($A$2,$A$3+$A$1-1,NB5),HolidayList[Date],1,0)))),TRUE,FALSE),FALSE)</f>
        <v>1</v>
      </c>
      <c r="NC4" s="13" t="b">
        <f>IFERROR(IF(AND(VLOOKUP(NC6,$NW$21:$NX$35,2,0)="Yes",NOT(ISNUMBER(VLOOKUP(DATE($A$2,$A$3+$A$1-1,NC5),HolidayList[Date],1,0)))),TRUE,FALSE),FALSE)</f>
        <v>1</v>
      </c>
      <c r="ND4" s="13" t="b">
        <f>IFERROR(IF(AND(VLOOKUP(ND6,$NW$21:$NX$35,2,0)="Yes",NOT(ISNUMBER(VLOOKUP(DATE($A$2,$A$3+$A$1-1,ND5),HolidayList[Date],1,0)))),TRUE,FALSE),FALSE)</f>
        <v>1</v>
      </c>
      <c r="NE4" s="13" t="b">
        <f>IFERROR(IF(AND(VLOOKUP(NE6,$NW$21:$NX$35,2,0)="Yes",NOT(ISNUMBER(VLOOKUP(DATE($A$2,$A$3+$A$1-1,NE5),HolidayList[Date],1,0)))),TRUE,FALSE),FALSE)</f>
        <v>0</v>
      </c>
      <c r="NF4" s="13" t="b">
        <f>IFERROR(IF(AND(VLOOKUP(NF6,$NW$21:$NX$35,2,0)="Yes",NOT(ISNUMBER(VLOOKUP(DATE($A$2,$A$3+$A$1-1,NF5),HolidayList[Date],1,0)))),TRUE,FALSE),FALSE)</f>
        <v>0</v>
      </c>
      <c r="NG4" s="13" t="b">
        <f>IFERROR(IF(AND(VLOOKUP(NG6,$NW$21:$NX$35,2,0)="Yes",NOT(ISNUMBER(VLOOKUP(DATE($A$2,$A$3+$A$1-1,NG5),HolidayList[Date],1,0)))),TRUE,FALSE),FALSE)</f>
        <v>1</v>
      </c>
      <c r="NH4" s="13" t="b">
        <f>IFERROR(IF(AND(VLOOKUP(NH6,$NW$21:$NX$35,2,0)="Yes",NOT(ISNUMBER(VLOOKUP(DATE($A$2,$A$3+$A$1-1,NH5),HolidayList[Date],1,0)))),TRUE,FALSE),FALSE)</f>
        <v>1</v>
      </c>
      <c r="NI4" s="13" t="b">
        <f>IFERROR(IF(AND(VLOOKUP(NI6,$NW$21:$NX$35,2,0)="Yes",NOT(ISNUMBER(VLOOKUP(DATE($A$2,$A$3+$A$1-1,NI5),HolidayList[Date],1,0)))),TRUE,FALSE),FALSE)</f>
        <v>1</v>
      </c>
      <c r="NJ4" s="13" t="b">
        <f>IFERROR(IF(AND(VLOOKUP(NJ6,$NW$21:$NX$35,2,0)="Yes",NOT(ISNUMBER(VLOOKUP(DATE($A$2,$A$3+$A$1-1,NJ5),HolidayList[Date],1,0)))),TRUE,FALSE),FALSE)</f>
        <v>0</v>
      </c>
      <c r="NL4" s="27" t="s">
        <v>34</v>
      </c>
      <c r="NM4" s="27"/>
      <c r="NN4" s="27"/>
      <c r="NO4" s="27"/>
      <c r="NP4" s="27"/>
      <c r="NQ4" s="28"/>
      <c r="NR4" s="28"/>
      <c r="NS4" s="28"/>
      <c r="NT4" s="28"/>
      <c r="NU4" s="29"/>
    </row>
    <row r="5" spans="1:761" x14ac:dyDescent="0.25">
      <c r="A5" s="1"/>
      <c r="B5" s="6" t="str">
        <f>IF(AND((COLUMN()-1)&gt;31*($A$3-1),MONTH(DATE($A$2+INT(($A$3+$A$1)/12),IF((INT((COLUMN()-1)/31.001)+$A$1)&gt;12,(INT((COLUMN()-1)/31.001)+$A$1-12),INT((COLUMN()-1)/31.001)+$A$1),ROUNDUP(MOD(COLUMN()-1,31.001),0)))=ROUNDUP(MOD($A$1+$A$3-1,12.01),0)),ROUNDUP(MOD(COLUMN()-1,31.001),0),"")</f>
        <v/>
      </c>
      <c r="C5" s="6" t="str">
        <f t="shared" ref="C5:BN5" si="0">IF(AND((COLUMN()-1)&gt;31*($A$3-1),MONTH(DATE($A$2+INT(($A$3+$A$1)/12),IF((INT((COLUMN()-1)/31.001)+$A$1)&gt;12,(INT((COLUMN()-1)/31.001)+$A$1-12),INT((COLUMN()-1)/31.001)+$A$1),ROUNDUP(MOD(COLUMN()-1,31.001),0)))=ROUNDUP(MOD($A$1+$A$3-1,12.01),0)),ROUNDUP(MOD(COLUMN()-1,31.001),0),"")</f>
        <v/>
      </c>
      <c r="D5" s="6" t="str">
        <f t="shared" si="0"/>
        <v/>
      </c>
      <c r="E5" s="6" t="str">
        <f t="shared" si="0"/>
        <v/>
      </c>
      <c r="F5" s="6" t="str">
        <f t="shared" si="0"/>
        <v/>
      </c>
      <c r="G5" s="6" t="str">
        <f t="shared" si="0"/>
        <v/>
      </c>
      <c r="H5" s="6" t="str">
        <f t="shared" si="0"/>
        <v/>
      </c>
      <c r="I5" s="6" t="str">
        <f t="shared" si="0"/>
        <v/>
      </c>
      <c r="J5" s="6" t="str">
        <f t="shared" si="0"/>
        <v/>
      </c>
      <c r="K5" s="6" t="str">
        <f t="shared" si="0"/>
        <v/>
      </c>
      <c r="L5" s="6" t="str">
        <f t="shared" si="0"/>
        <v/>
      </c>
      <c r="M5" s="6" t="str">
        <f t="shared" si="0"/>
        <v/>
      </c>
      <c r="N5" s="6" t="str">
        <f t="shared" si="0"/>
        <v/>
      </c>
      <c r="O5" s="6" t="str">
        <f t="shared" si="0"/>
        <v/>
      </c>
      <c r="P5" s="6" t="str">
        <f t="shared" si="0"/>
        <v/>
      </c>
      <c r="Q5" s="6" t="str">
        <f t="shared" si="0"/>
        <v/>
      </c>
      <c r="R5" s="6" t="str">
        <f t="shared" si="0"/>
        <v/>
      </c>
      <c r="S5" s="6" t="str">
        <f t="shared" si="0"/>
        <v/>
      </c>
      <c r="T5" s="6" t="str">
        <f t="shared" si="0"/>
        <v/>
      </c>
      <c r="U5" s="6" t="str">
        <f t="shared" si="0"/>
        <v/>
      </c>
      <c r="V5" s="6" t="str">
        <f t="shared" si="0"/>
        <v/>
      </c>
      <c r="W5" s="6" t="str">
        <f t="shared" si="0"/>
        <v/>
      </c>
      <c r="X5" s="6" t="str">
        <f t="shared" si="0"/>
        <v/>
      </c>
      <c r="Y5" s="6" t="str">
        <f t="shared" si="0"/>
        <v/>
      </c>
      <c r="Z5" s="6" t="str">
        <f t="shared" si="0"/>
        <v/>
      </c>
      <c r="AA5" s="6" t="str">
        <f t="shared" si="0"/>
        <v/>
      </c>
      <c r="AB5" s="6" t="str">
        <f t="shared" si="0"/>
        <v/>
      </c>
      <c r="AC5" s="6" t="str">
        <f t="shared" si="0"/>
        <v/>
      </c>
      <c r="AD5" s="6" t="str">
        <f t="shared" si="0"/>
        <v/>
      </c>
      <c r="AE5" s="6" t="str">
        <f t="shared" si="0"/>
        <v/>
      </c>
      <c r="AF5" s="6" t="str">
        <f t="shared" si="0"/>
        <v/>
      </c>
      <c r="AG5" s="6" t="str">
        <f t="shared" si="0"/>
        <v/>
      </c>
      <c r="AH5" s="6" t="str">
        <f t="shared" si="0"/>
        <v/>
      </c>
      <c r="AI5" s="6" t="str">
        <f t="shared" si="0"/>
        <v/>
      </c>
      <c r="AJ5" s="6" t="str">
        <f t="shared" si="0"/>
        <v/>
      </c>
      <c r="AK5" s="6" t="str">
        <f t="shared" si="0"/>
        <v/>
      </c>
      <c r="AL5" s="6" t="str">
        <f t="shared" si="0"/>
        <v/>
      </c>
      <c r="AM5" s="6" t="str">
        <f t="shared" si="0"/>
        <v/>
      </c>
      <c r="AN5" s="6" t="str">
        <f t="shared" si="0"/>
        <v/>
      </c>
      <c r="AO5" s="6" t="str">
        <f t="shared" si="0"/>
        <v/>
      </c>
      <c r="AP5" s="6" t="str">
        <f t="shared" si="0"/>
        <v/>
      </c>
      <c r="AQ5" s="6" t="str">
        <f t="shared" si="0"/>
        <v/>
      </c>
      <c r="AR5" s="6" t="str">
        <f t="shared" si="0"/>
        <v/>
      </c>
      <c r="AS5" s="6" t="str">
        <f t="shared" si="0"/>
        <v/>
      </c>
      <c r="AT5" s="6" t="str">
        <f t="shared" si="0"/>
        <v/>
      </c>
      <c r="AU5" s="6" t="str">
        <f t="shared" si="0"/>
        <v/>
      </c>
      <c r="AV5" s="6" t="str">
        <f t="shared" si="0"/>
        <v/>
      </c>
      <c r="AW5" s="6" t="str">
        <f t="shared" si="0"/>
        <v/>
      </c>
      <c r="AX5" s="6" t="str">
        <f t="shared" si="0"/>
        <v/>
      </c>
      <c r="AY5" s="6" t="str">
        <f t="shared" si="0"/>
        <v/>
      </c>
      <c r="AZ5" s="6" t="str">
        <f t="shared" si="0"/>
        <v/>
      </c>
      <c r="BA5" s="6" t="str">
        <f t="shared" si="0"/>
        <v/>
      </c>
      <c r="BB5" s="6" t="str">
        <f t="shared" si="0"/>
        <v/>
      </c>
      <c r="BC5" s="6" t="str">
        <f t="shared" si="0"/>
        <v/>
      </c>
      <c r="BD5" s="6" t="str">
        <f t="shared" si="0"/>
        <v/>
      </c>
      <c r="BE5" s="6" t="str">
        <f t="shared" si="0"/>
        <v/>
      </c>
      <c r="BF5" s="6" t="str">
        <f t="shared" si="0"/>
        <v/>
      </c>
      <c r="BG5" s="6" t="str">
        <f t="shared" si="0"/>
        <v/>
      </c>
      <c r="BH5" s="6" t="str">
        <f t="shared" si="0"/>
        <v/>
      </c>
      <c r="BI5" s="6" t="str">
        <f t="shared" si="0"/>
        <v/>
      </c>
      <c r="BJ5" s="6" t="str">
        <f t="shared" si="0"/>
        <v/>
      </c>
      <c r="BK5" s="6" t="str">
        <f t="shared" si="0"/>
        <v/>
      </c>
      <c r="BL5" s="6" t="str">
        <f t="shared" si="0"/>
        <v/>
      </c>
      <c r="BM5" s="6" t="str">
        <f t="shared" si="0"/>
        <v/>
      </c>
      <c r="BN5" s="6" t="str">
        <f t="shared" si="0"/>
        <v/>
      </c>
      <c r="BO5" s="6" t="str">
        <f t="shared" ref="BO5:EA5" si="1">IF(AND((COLUMN()-1)&gt;31*($A$3-1),MONTH(DATE($A$2+INT(($A$3+$A$1)/12),IF((INT((COLUMN()-1)/31.001)+$A$1)&gt;12,(INT((COLUMN()-1)/31.001)+$A$1-12),INT((COLUMN()-1)/31.001)+$A$1),ROUNDUP(MOD(COLUMN()-1,31.001),0)))=ROUNDUP(MOD($A$1+$A$3-1,12.01),0)),ROUNDUP(MOD(COLUMN()-1,31.001),0),"")</f>
        <v/>
      </c>
      <c r="BP5" s="6" t="str">
        <f t="shared" si="1"/>
        <v/>
      </c>
      <c r="BQ5" s="6" t="str">
        <f t="shared" si="1"/>
        <v/>
      </c>
      <c r="BR5" s="6" t="str">
        <f t="shared" si="1"/>
        <v/>
      </c>
      <c r="BS5" s="6" t="str">
        <f t="shared" si="1"/>
        <v/>
      </c>
      <c r="BT5" s="6" t="str">
        <f t="shared" si="1"/>
        <v/>
      </c>
      <c r="BU5" s="6" t="str">
        <f t="shared" si="1"/>
        <v/>
      </c>
      <c r="BV5" s="6" t="str">
        <f t="shared" si="1"/>
        <v/>
      </c>
      <c r="BW5" s="6" t="str">
        <f t="shared" si="1"/>
        <v/>
      </c>
      <c r="BX5" s="6" t="str">
        <f t="shared" si="1"/>
        <v/>
      </c>
      <c r="BY5" s="6" t="str">
        <f t="shared" si="1"/>
        <v/>
      </c>
      <c r="BZ5" s="6" t="str">
        <f t="shared" si="1"/>
        <v/>
      </c>
      <c r="CA5" s="6" t="str">
        <f t="shared" si="1"/>
        <v/>
      </c>
      <c r="CB5" s="6" t="str">
        <f t="shared" si="1"/>
        <v/>
      </c>
      <c r="CC5" s="6" t="str">
        <f t="shared" si="1"/>
        <v/>
      </c>
      <c r="CD5" s="6" t="str">
        <f t="shared" si="1"/>
        <v/>
      </c>
      <c r="CE5" s="6" t="str">
        <f t="shared" si="1"/>
        <v/>
      </c>
      <c r="CF5" s="6" t="str">
        <f t="shared" si="1"/>
        <v/>
      </c>
      <c r="CG5" s="6" t="str">
        <f t="shared" si="1"/>
        <v/>
      </c>
      <c r="CH5" s="6" t="str">
        <f t="shared" si="1"/>
        <v/>
      </c>
      <c r="CI5" s="6" t="str">
        <f t="shared" si="1"/>
        <v/>
      </c>
      <c r="CJ5" s="6" t="str">
        <f t="shared" si="1"/>
        <v/>
      </c>
      <c r="CK5" s="6" t="str">
        <f t="shared" si="1"/>
        <v/>
      </c>
      <c r="CL5" s="6" t="str">
        <f t="shared" si="1"/>
        <v/>
      </c>
      <c r="CM5" s="6" t="str">
        <f t="shared" si="1"/>
        <v/>
      </c>
      <c r="CN5" s="6" t="str">
        <f t="shared" si="1"/>
        <v/>
      </c>
      <c r="CO5" s="6" t="str">
        <f t="shared" si="1"/>
        <v/>
      </c>
      <c r="CP5" s="6" t="str">
        <f t="shared" si="1"/>
        <v/>
      </c>
      <c r="CQ5" s="6"/>
      <c r="CR5" s="6" t="str">
        <f t="shared" si="1"/>
        <v/>
      </c>
      <c r="CS5" s="6" t="str">
        <f t="shared" si="1"/>
        <v/>
      </c>
      <c r="CT5" s="6" t="str">
        <f t="shared" si="1"/>
        <v/>
      </c>
      <c r="CU5" s="6" t="str">
        <f t="shared" si="1"/>
        <v/>
      </c>
      <c r="CV5" s="6" t="str">
        <f t="shared" si="1"/>
        <v/>
      </c>
      <c r="CW5" s="6" t="str">
        <f t="shared" si="1"/>
        <v/>
      </c>
      <c r="CX5" s="6" t="str">
        <f t="shared" si="1"/>
        <v/>
      </c>
      <c r="CY5" s="6" t="str">
        <f t="shared" si="1"/>
        <v/>
      </c>
      <c r="CZ5" s="6" t="str">
        <f t="shared" si="1"/>
        <v/>
      </c>
      <c r="DA5" s="6" t="str">
        <f t="shared" si="1"/>
        <v/>
      </c>
      <c r="DB5" s="6" t="str">
        <f t="shared" si="1"/>
        <v/>
      </c>
      <c r="DC5" s="6" t="str">
        <f t="shared" si="1"/>
        <v/>
      </c>
      <c r="DD5" s="6" t="str">
        <f t="shared" si="1"/>
        <v/>
      </c>
      <c r="DE5" s="6" t="str">
        <f t="shared" si="1"/>
        <v/>
      </c>
      <c r="DF5" s="6" t="str">
        <f t="shared" si="1"/>
        <v/>
      </c>
      <c r="DG5" s="6" t="str">
        <f t="shared" si="1"/>
        <v/>
      </c>
      <c r="DH5" s="6" t="str">
        <f t="shared" si="1"/>
        <v/>
      </c>
      <c r="DI5" s="6" t="str">
        <f t="shared" si="1"/>
        <v/>
      </c>
      <c r="DJ5" s="6" t="str">
        <f t="shared" si="1"/>
        <v/>
      </c>
      <c r="DK5" s="6" t="str">
        <f t="shared" si="1"/>
        <v/>
      </c>
      <c r="DL5" s="6" t="str">
        <f t="shared" si="1"/>
        <v/>
      </c>
      <c r="DM5" s="6" t="str">
        <f t="shared" si="1"/>
        <v/>
      </c>
      <c r="DN5" s="6" t="str">
        <f t="shared" si="1"/>
        <v/>
      </c>
      <c r="DO5" s="6" t="str">
        <f t="shared" si="1"/>
        <v/>
      </c>
      <c r="DP5" s="6" t="str">
        <f t="shared" si="1"/>
        <v/>
      </c>
      <c r="DQ5" s="6" t="str">
        <f t="shared" si="1"/>
        <v/>
      </c>
      <c r="DR5" s="6" t="str">
        <f t="shared" si="1"/>
        <v/>
      </c>
      <c r="DS5" s="6" t="str">
        <f t="shared" si="1"/>
        <v/>
      </c>
      <c r="DT5" s="6" t="str">
        <f t="shared" si="1"/>
        <v/>
      </c>
      <c r="DU5" s="6" t="str">
        <f t="shared" si="1"/>
        <v/>
      </c>
      <c r="DV5" s="6" t="str">
        <f t="shared" si="1"/>
        <v/>
      </c>
      <c r="DW5" s="6" t="str">
        <f t="shared" si="1"/>
        <v/>
      </c>
      <c r="DX5" s="6" t="str">
        <f t="shared" si="1"/>
        <v/>
      </c>
      <c r="DY5" s="6" t="str">
        <f t="shared" si="1"/>
        <v/>
      </c>
      <c r="DZ5" s="6" t="str">
        <f t="shared" si="1"/>
        <v/>
      </c>
      <c r="EA5" s="6" t="str">
        <f t="shared" si="1"/>
        <v/>
      </c>
      <c r="EB5" s="6" t="str">
        <f t="shared" ref="EB5:GM5" si="2">IF(AND((COLUMN()-1)&gt;31*($A$3-1),MONTH(DATE($A$2+INT(($A$3+$A$1)/12),IF((INT((COLUMN()-1)/31.001)+$A$1)&gt;12,(INT((COLUMN()-1)/31.001)+$A$1-12),INT((COLUMN()-1)/31.001)+$A$1),ROUNDUP(MOD(COLUMN()-1,31.001),0)))=ROUNDUP(MOD($A$1+$A$3-1,12.01),0)),ROUNDUP(MOD(COLUMN()-1,31.001),0),"")</f>
        <v/>
      </c>
      <c r="EC5" s="6" t="str">
        <f t="shared" si="2"/>
        <v/>
      </c>
      <c r="ED5" s="6" t="str">
        <f t="shared" si="2"/>
        <v/>
      </c>
      <c r="EE5" s="6" t="str">
        <f t="shared" si="2"/>
        <v/>
      </c>
      <c r="EF5" s="6" t="str">
        <f t="shared" si="2"/>
        <v/>
      </c>
      <c r="EG5" s="6" t="str">
        <f t="shared" si="2"/>
        <v/>
      </c>
      <c r="EH5" s="6" t="str">
        <f t="shared" si="2"/>
        <v/>
      </c>
      <c r="EI5" s="6" t="str">
        <f t="shared" si="2"/>
        <v/>
      </c>
      <c r="EJ5" s="6" t="str">
        <f t="shared" si="2"/>
        <v/>
      </c>
      <c r="EK5" s="6" t="str">
        <f t="shared" si="2"/>
        <v/>
      </c>
      <c r="EL5" s="6" t="str">
        <f t="shared" si="2"/>
        <v/>
      </c>
      <c r="EM5" s="6" t="str">
        <f t="shared" si="2"/>
        <v/>
      </c>
      <c r="EN5" s="6" t="str">
        <f t="shared" si="2"/>
        <v/>
      </c>
      <c r="EO5" s="6" t="str">
        <f t="shared" si="2"/>
        <v/>
      </c>
      <c r="EP5" s="6" t="str">
        <f t="shared" si="2"/>
        <v/>
      </c>
      <c r="EQ5" s="6" t="str">
        <f t="shared" si="2"/>
        <v/>
      </c>
      <c r="ER5" s="6" t="str">
        <f t="shared" si="2"/>
        <v/>
      </c>
      <c r="ES5" s="6" t="str">
        <f t="shared" si="2"/>
        <v/>
      </c>
      <c r="ET5" s="6" t="str">
        <f t="shared" si="2"/>
        <v/>
      </c>
      <c r="EU5" s="6" t="str">
        <f t="shared" si="2"/>
        <v/>
      </c>
      <c r="EV5" s="6" t="str">
        <f t="shared" si="2"/>
        <v/>
      </c>
      <c r="EW5" s="6" t="str">
        <f t="shared" si="2"/>
        <v/>
      </c>
      <c r="EX5" s="6" t="str">
        <f t="shared" si="2"/>
        <v/>
      </c>
      <c r="EY5" s="6" t="str">
        <f t="shared" si="2"/>
        <v/>
      </c>
      <c r="EZ5" s="6" t="str">
        <f t="shared" si="2"/>
        <v/>
      </c>
      <c r="FA5" s="6" t="str">
        <f t="shared" si="2"/>
        <v/>
      </c>
      <c r="FB5" s="6" t="str">
        <f t="shared" si="2"/>
        <v/>
      </c>
      <c r="FC5" s="6" t="str">
        <f t="shared" si="2"/>
        <v/>
      </c>
      <c r="FD5" s="6" t="str">
        <f t="shared" si="2"/>
        <v/>
      </c>
      <c r="FE5" s="6" t="str">
        <f t="shared" si="2"/>
        <v/>
      </c>
      <c r="FF5" s="6" t="str">
        <f t="shared" si="2"/>
        <v/>
      </c>
      <c r="FG5" s="6" t="str">
        <f t="shared" si="2"/>
        <v/>
      </c>
      <c r="FH5" s="6" t="str">
        <f t="shared" si="2"/>
        <v/>
      </c>
      <c r="FI5" s="6" t="str">
        <f t="shared" si="2"/>
        <v/>
      </c>
      <c r="FJ5" s="6" t="str">
        <f t="shared" si="2"/>
        <v/>
      </c>
      <c r="FK5" s="6" t="str">
        <f t="shared" si="2"/>
        <v/>
      </c>
      <c r="FL5" s="6" t="str">
        <f t="shared" si="2"/>
        <v/>
      </c>
      <c r="FM5" s="6" t="str">
        <f t="shared" si="2"/>
        <v/>
      </c>
      <c r="FN5" s="6" t="str">
        <f t="shared" si="2"/>
        <v/>
      </c>
      <c r="FO5" s="6" t="str">
        <f t="shared" si="2"/>
        <v/>
      </c>
      <c r="FP5" s="6" t="str">
        <f t="shared" si="2"/>
        <v/>
      </c>
      <c r="FQ5" s="6" t="str">
        <f t="shared" si="2"/>
        <v/>
      </c>
      <c r="FR5" s="6" t="str">
        <f t="shared" si="2"/>
        <v/>
      </c>
      <c r="FS5" s="6" t="str">
        <f t="shared" si="2"/>
        <v/>
      </c>
      <c r="FT5" s="6" t="str">
        <f t="shared" si="2"/>
        <v/>
      </c>
      <c r="FU5" s="6" t="str">
        <f t="shared" si="2"/>
        <v/>
      </c>
      <c r="FV5" s="6" t="str">
        <f t="shared" si="2"/>
        <v/>
      </c>
      <c r="FW5" s="6" t="str">
        <f t="shared" si="2"/>
        <v/>
      </c>
      <c r="FX5" s="6" t="str">
        <f t="shared" si="2"/>
        <v/>
      </c>
      <c r="FY5" s="6" t="str">
        <f t="shared" si="2"/>
        <v/>
      </c>
      <c r="FZ5" s="6" t="str">
        <f t="shared" si="2"/>
        <v/>
      </c>
      <c r="GA5" s="6" t="str">
        <f t="shared" si="2"/>
        <v/>
      </c>
      <c r="GB5" s="6" t="str">
        <f t="shared" si="2"/>
        <v/>
      </c>
      <c r="GC5" s="6" t="str">
        <f t="shared" si="2"/>
        <v/>
      </c>
      <c r="GD5" s="6" t="str">
        <f t="shared" si="2"/>
        <v/>
      </c>
      <c r="GE5" s="6" t="str">
        <f t="shared" si="2"/>
        <v/>
      </c>
      <c r="GF5" s="6" t="str">
        <f t="shared" si="2"/>
        <v/>
      </c>
      <c r="GG5" s="6" t="str">
        <f t="shared" si="2"/>
        <v/>
      </c>
      <c r="GH5" s="6" t="str">
        <f t="shared" si="2"/>
        <v/>
      </c>
      <c r="GI5" s="6" t="str">
        <f t="shared" si="2"/>
        <v/>
      </c>
      <c r="GJ5" s="6" t="str">
        <f t="shared" si="2"/>
        <v/>
      </c>
      <c r="GK5" s="6" t="str">
        <f t="shared" si="2"/>
        <v/>
      </c>
      <c r="GL5" s="6" t="str">
        <f t="shared" si="2"/>
        <v/>
      </c>
      <c r="GM5" s="6" t="str">
        <f t="shared" si="2"/>
        <v/>
      </c>
      <c r="GN5" s="6" t="str">
        <f t="shared" ref="GN5:IY5" si="3">IF(AND((COLUMN()-1)&gt;31*($A$3-1),MONTH(DATE($A$2+INT(($A$3+$A$1)/12),IF((INT((COLUMN()-1)/31.001)+$A$1)&gt;12,(INT((COLUMN()-1)/31.001)+$A$1-12),INT((COLUMN()-1)/31.001)+$A$1),ROUNDUP(MOD(COLUMN()-1,31.001),0)))=ROUNDUP(MOD($A$1+$A$3-1,12.01),0)),ROUNDUP(MOD(COLUMN()-1,31.001),0),"")</f>
        <v/>
      </c>
      <c r="GO5" s="6" t="str">
        <f t="shared" si="3"/>
        <v/>
      </c>
      <c r="GP5" s="6" t="str">
        <f t="shared" si="3"/>
        <v/>
      </c>
      <c r="GQ5" s="6" t="str">
        <f t="shared" si="3"/>
        <v/>
      </c>
      <c r="GR5" s="6" t="str">
        <f t="shared" si="3"/>
        <v/>
      </c>
      <c r="GS5" s="6" t="str">
        <f t="shared" si="3"/>
        <v/>
      </c>
      <c r="GT5" s="6" t="str">
        <f t="shared" si="3"/>
        <v/>
      </c>
      <c r="GU5" s="6" t="str">
        <f t="shared" si="3"/>
        <v/>
      </c>
      <c r="GV5" s="6" t="str">
        <f t="shared" si="3"/>
        <v/>
      </c>
      <c r="GW5" s="6" t="str">
        <f t="shared" si="3"/>
        <v/>
      </c>
      <c r="GX5" s="6" t="str">
        <f t="shared" si="3"/>
        <v/>
      </c>
      <c r="GY5" s="6" t="str">
        <f t="shared" si="3"/>
        <v/>
      </c>
      <c r="GZ5" s="6" t="str">
        <f t="shared" si="3"/>
        <v/>
      </c>
      <c r="HA5" s="6" t="str">
        <f t="shared" si="3"/>
        <v/>
      </c>
      <c r="HB5" s="6" t="str">
        <f t="shared" si="3"/>
        <v/>
      </c>
      <c r="HC5" s="6" t="str">
        <f t="shared" si="3"/>
        <v/>
      </c>
      <c r="HD5" s="6" t="str">
        <f t="shared" si="3"/>
        <v/>
      </c>
      <c r="HE5" s="6" t="str">
        <f t="shared" si="3"/>
        <v/>
      </c>
      <c r="HF5" s="6" t="str">
        <f t="shared" si="3"/>
        <v/>
      </c>
      <c r="HG5" s="6" t="str">
        <f t="shared" si="3"/>
        <v/>
      </c>
      <c r="HH5" s="6" t="str">
        <f t="shared" si="3"/>
        <v/>
      </c>
      <c r="HI5" s="6" t="str">
        <f t="shared" si="3"/>
        <v/>
      </c>
      <c r="HJ5" s="6" t="str">
        <f t="shared" si="3"/>
        <v/>
      </c>
      <c r="HK5" s="6" t="str">
        <f t="shared" si="3"/>
        <v/>
      </c>
      <c r="HL5" s="6" t="str">
        <f t="shared" si="3"/>
        <v/>
      </c>
      <c r="HM5" s="6" t="str">
        <f t="shared" si="3"/>
        <v/>
      </c>
      <c r="HN5" s="6" t="str">
        <f t="shared" si="3"/>
        <v/>
      </c>
      <c r="HO5" s="6" t="str">
        <f t="shared" si="3"/>
        <v/>
      </c>
      <c r="HP5" s="6" t="str">
        <f t="shared" si="3"/>
        <v/>
      </c>
      <c r="HQ5" s="6" t="str">
        <f t="shared" si="3"/>
        <v/>
      </c>
      <c r="HR5" s="6" t="str">
        <f t="shared" si="3"/>
        <v/>
      </c>
      <c r="HS5" s="6" t="str">
        <f t="shared" si="3"/>
        <v/>
      </c>
      <c r="HT5" s="6" t="str">
        <f t="shared" si="3"/>
        <v/>
      </c>
      <c r="HU5" s="6" t="str">
        <f t="shared" si="3"/>
        <v/>
      </c>
      <c r="HV5" s="6" t="str">
        <f t="shared" si="3"/>
        <v/>
      </c>
      <c r="HW5" s="6" t="str">
        <f t="shared" si="3"/>
        <v/>
      </c>
      <c r="HX5" s="6" t="str">
        <f t="shared" si="3"/>
        <v/>
      </c>
      <c r="HY5" s="6" t="str">
        <f t="shared" si="3"/>
        <v/>
      </c>
      <c r="HZ5" s="6" t="str">
        <f t="shared" si="3"/>
        <v/>
      </c>
      <c r="IA5" s="6" t="str">
        <f t="shared" si="3"/>
        <v/>
      </c>
      <c r="IB5" s="6" t="str">
        <f t="shared" si="3"/>
        <v/>
      </c>
      <c r="IC5" s="6" t="str">
        <f t="shared" si="3"/>
        <v/>
      </c>
      <c r="ID5" s="6" t="str">
        <f t="shared" si="3"/>
        <v/>
      </c>
      <c r="IE5" s="6" t="str">
        <f t="shared" si="3"/>
        <v/>
      </c>
      <c r="IF5" s="6" t="str">
        <f t="shared" si="3"/>
        <v/>
      </c>
      <c r="IG5" s="6" t="str">
        <f t="shared" si="3"/>
        <v/>
      </c>
      <c r="IH5" s="6" t="str">
        <f t="shared" si="3"/>
        <v/>
      </c>
      <c r="II5" s="6" t="str">
        <f t="shared" si="3"/>
        <v/>
      </c>
      <c r="IJ5" s="6" t="str">
        <f t="shared" si="3"/>
        <v/>
      </c>
      <c r="IK5" s="6" t="str">
        <f t="shared" si="3"/>
        <v/>
      </c>
      <c r="IL5" s="6" t="str">
        <f t="shared" si="3"/>
        <v/>
      </c>
      <c r="IM5" s="6" t="str">
        <f t="shared" si="3"/>
        <v/>
      </c>
      <c r="IN5" s="6" t="str">
        <f t="shared" si="3"/>
        <v/>
      </c>
      <c r="IO5" s="6" t="str">
        <f t="shared" si="3"/>
        <v/>
      </c>
      <c r="IP5" s="6" t="str">
        <f t="shared" si="3"/>
        <v/>
      </c>
      <c r="IQ5" s="6" t="str">
        <f t="shared" si="3"/>
        <v/>
      </c>
      <c r="IR5" s="6" t="str">
        <f t="shared" si="3"/>
        <v/>
      </c>
      <c r="IS5" s="6" t="str">
        <f t="shared" si="3"/>
        <v/>
      </c>
      <c r="IT5" s="6" t="str">
        <f t="shared" si="3"/>
        <v/>
      </c>
      <c r="IU5" s="6" t="str">
        <f t="shared" si="3"/>
        <v/>
      </c>
      <c r="IV5" s="6" t="str">
        <f t="shared" si="3"/>
        <v/>
      </c>
      <c r="IW5" s="6" t="str">
        <f t="shared" si="3"/>
        <v/>
      </c>
      <c r="IX5" s="6" t="str">
        <f t="shared" si="3"/>
        <v/>
      </c>
      <c r="IY5" s="6" t="str">
        <f t="shared" si="3"/>
        <v/>
      </c>
      <c r="IZ5" s="6" t="str">
        <f t="shared" ref="IZ5:LK5" si="4">IF(AND((COLUMN()-1)&gt;31*($A$3-1),MONTH(DATE($A$2+INT(($A$3+$A$1)/12),IF((INT((COLUMN()-1)/31.001)+$A$1)&gt;12,(INT((COLUMN()-1)/31.001)+$A$1-12),INT((COLUMN()-1)/31.001)+$A$1),ROUNDUP(MOD(COLUMN()-1,31.001),0)))=ROUNDUP(MOD($A$1+$A$3-1,12.01),0)),ROUNDUP(MOD(COLUMN()-1,31.001),0),"")</f>
        <v/>
      </c>
      <c r="JA5" s="6" t="str">
        <f t="shared" si="4"/>
        <v/>
      </c>
      <c r="JB5" s="6" t="str">
        <f t="shared" si="4"/>
        <v/>
      </c>
      <c r="JC5" s="6" t="str">
        <f t="shared" si="4"/>
        <v/>
      </c>
      <c r="JD5" s="6" t="str">
        <f t="shared" si="4"/>
        <v/>
      </c>
      <c r="JE5" s="6" t="str">
        <f t="shared" si="4"/>
        <v/>
      </c>
      <c r="JF5" s="6" t="str">
        <f t="shared" si="4"/>
        <v/>
      </c>
      <c r="JG5" s="6" t="str">
        <f t="shared" si="4"/>
        <v/>
      </c>
      <c r="JH5" s="6" t="str">
        <f t="shared" si="4"/>
        <v/>
      </c>
      <c r="JI5" s="6" t="str">
        <f t="shared" si="4"/>
        <v/>
      </c>
      <c r="JJ5" s="6" t="str">
        <f t="shared" si="4"/>
        <v/>
      </c>
      <c r="JK5" s="6" t="str">
        <f t="shared" si="4"/>
        <v/>
      </c>
      <c r="JL5" s="6" t="str">
        <f t="shared" si="4"/>
        <v/>
      </c>
      <c r="JM5" s="6" t="str">
        <f t="shared" si="4"/>
        <v/>
      </c>
      <c r="JN5" s="6" t="str">
        <f t="shared" si="4"/>
        <v/>
      </c>
      <c r="JO5" s="6" t="str">
        <f t="shared" si="4"/>
        <v/>
      </c>
      <c r="JP5" s="6" t="str">
        <f t="shared" si="4"/>
        <v/>
      </c>
      <c r="JQ5" s="6" t="str">
        <f t="shared" si="4"/>
        <v/>
      </c>
      <c r="JR5" s="6" t="str">
        <f t="shared" si="4"/>
        <v/>
      </c>
      <c r="JS5" s="6" t="str">
        <f t="shared" si="4"/>
        <v/>
      </c>
      <c r="JT5" s="6" t="str">
        <f t="shared" si="4"/>
        <v/>
      </c>
      <c r="JU5" s="6" t="str">
        <f t="shared" si="4"/>
        <v/>
      </c>
      <c r="JV5" s="6" t="str">
        <f t="shared" si="4"/>
        <v/>
      </c>
      <c r="JW5" s="6" t="str">
        <f t="shared" si="4"/>
        <v/>
      </c>
      <c r="JX5" s="6" t="str">
        <f t="shared" si="4"/>
        <v/>
      </c>
      <c r="JY5" s="6" t="str">
        <f t="shared" si="4"/>
        <v/>
      </c>
      <c r="JZ5" s="6" t="str">
        <f t="shared" si="4"/>
        <v/>
      </c>
      <c r="KA5" s="6" t="str">
        <f t="shared" si="4"/>
        <v/>
      </c>
      <c r="KB5" s="6" t="str">
        <f t="shared" si="4"/>
        <v/>
      </c>
      <c r="KC5" s="6" t="str">
        <f t="shared" si="4"/>
        <v/>
      </c>
      <c r="KD5" s="6" t="str">
        <f t="shared" si="4"/>
        <v/>
      </c>
      <c r="KE5" s="6" t="str">
        <f t="shared" si="4"/>
        <v/>
      </c>
      <c r="KF5" s="6" t="str">
        <f t="shared" si="4"/>
        <v/>
      </c>
      <c r="KG5" s="6" t="str">
        <f t="shared" si="4"/>
        <v/>
      </c>
      <c r="KH5" s="6" t="str">
        <f t="shared" si="4"/>
        <v/>
      </c>
      <c r="KI5" s="6" t="str">
        <f t="shared" si="4"/>
        <v/>
      </c>
      <c r="KJ5" s="6" t="str">
        <f t="shared" si="4"/>
        <v/>
      </c>
      <c r="KK5" s="6" t="str">
        <f t="shared" si="4"/>
        <v/>
      </c>
      <c r="KL5" s="6" t="str">
        <f t="shared" si="4"/>
        <v/>
      </c>
      <c r="KM5" s="6" t="str">
        <f t="shared" si="4"/>
        <v/>
      </c>
      <c r="KN5" s="6" t="str">
        <f t="shared" si="4"/>
        <v/>
      </c>
      <c r="KO5" s="6" t="str">
        <f t="shared" si="4"/>
        <v/>
      </c>
      <c r="KP5" s="6" t="str">
        <f t="shared" si="4"/>
        <v/>
      </c>
      <c r="KQ5" s="6" t="str">
        <f t="shared" si="4"/>
        <v/>
      </c>
      <c r="KR5" s="6" t="str">
        <f t="shared" si="4"/>
        <v/>
      </c>
      <c r="KS5" s="6" t="str">
        <f t="shared" si="4"/>
        <v/>
      </c>
      <c r="KT5" s="6" t="str">
        <f t="shared" si="4"/>
        <v/>
      </c>
      <c r="KU5" s="6" t="str">
        <f t="shared" si="4"/>
        <v/>
      </c>
      <c r="KV5" s="6" t="str">
        <f t="shared" si="4"/>
        <v/>
      </c>
      <c r="KW5" s="6" t="str">
        <f t="shared" si="4"/>
        <v/>
      </c>
      <c r="KX5" s="6" t="str">
        <f t="shared" si="4"/>
        <v/>
      </c>
      <c r="KY5" s="6" t="str">
        <f t="shared" si="4"/>
        <v/>
      </c>
      <c r="KZ5" s="6" t="str">
        <f t="shared" si="4"/>
        <v/>
      </c>
      <c r="LA5" s="6" t="str">
        <f t="shared" si="4"/>
        <v/>
      </c>
      <c r="LB5" s="6" t="str">
        <f t="shared" si="4"/>
        <v/>
      </c>
      <c r="LC5" s="6" t="str">
        <f t="shared" si="4"/>
        <v/>
      </c>
      <c r="LD5" s="6" t="str">
        <f t="shared" si="4"/>
        <v/>
      </c>
      <c r="LE5" s="6" t="str">
        <f t="shared" si="4"/>
        <v/>
      </c>
      <c r="LF5" s="6" t="str">
        <f t="shared" si="4"/>
        <v/>
      </c>
      <c r="LG5" s="6" t="str">
        <f t="shared" si="4"/>
        <v/>
      </c>
      <c r="LH5" s="6" t="str">
        <f t="shared" si="4"/>
        <v/>
      </c>
      <c r="LI5" s="6" t="str">
        <f t="shared" si="4"/>
        <v/>
      </c>
      <c r="LJ5" s="6" t="str">
        <f t="shared" si="4"/>
        <v/>
      </c>
      <c r="LK5" s="6" t="str">
        <f t="shared" si="4"/>
        <v/>
      </c>
      <c r="LL5" s="6" t="str">
        <f t="shared" ref="LL5:NJ5" si="5">IF(AND((COLUMN()-1)&gt;31*($A$3-1),MONTH(DATE($A$2+INT(($A$3+$A$1)/12),IF((INT((COLUMN()-1)/31.001)+$A$1)&gt;12,(INT((COLUMN()-1)/31.001)+$A$1-12),INT((COLUMN()-1)/31.001)+$A$1),ROUNDUP(MOD(COLUMN()-1,31.001),0)))=ROUNDUP(MOD($A$1+$A$3-1,12.01),0)),ROUNDUP(MOD(COLUMN()-1,31.001),0),"")</f>
        <v/>
      </c>
      <c r="LM5" s="6" t="str">
        <f t="shared" si="5"/>
        <v/>
      </c>
      <c r="LN5" s="6" t="str">
        <f t="shared" si="5"/>
        <v/>
      </c>
      <c r="LO5" s="6" t="str">
        <f t="shared" si="5"/>
        <v/>
      </c>
      <c r="LP5" s="6" t="str">
        <f t="shared" si="5"/>
        <v/>
      </c>
      <c r="LQ5" s="6" t="str">
        <f t="shared" si="5"/>
        <v/>
      </c>
      <c r="LR5" s="6" t="str">
        <f t="shared" si="5"/>
        <v/>
      </c>
      <c r="LS5" s="6" t="str">
        <f t="shared" si="5"/>
        <v/>
      </c>
      <c r="LT5" s="6" t="str">
        <f t="shared" si="5"/>
        <v/>
      </c>
      <c r="LU5" s="6" t="str">
        <f t="shared" si="5"/>
        <v/>
      </c>
      <c r="LV5" s="6" t="str">
        <f t="shared" si="5"/>
        <v/>
      </c>
      <c r="LW5" s="6" t="str">
        <f t="shared" si="5"/>
        <v/>
      </c>
      <c r="LX5" s="6" t="str">
        <f t="shared" si="5"/>
        <v/>
      </c>
      <c r="LY5" s="6" t="str">
        <f t="shared" si="5"/>
        <v/>
      </c>
      <c r="LZ5" s="6" t="str">
        <f t="shared" si="5"/>
        <v/>
      </c>
      <c r="MA5" s="6" t="str">
        <f t="shared" si="5"/>
        <v/>
      </c>
      <c r="MB5" s="6" t="str">
        <f t="shared" si="5"/>
        <v/>
      </c>
      <c r="MC5" s="6" t="str">
        <f t="shared" si="5"/>
        <v/>
      </c>
      <c r="MD5" s="6" t="str">
        <f t="shared" si="5"/>
        <v/>
      </c>
      <c r="ME5" s="6">
        <f t="shared" si="5"/>
        <v>1</v>
      </c>
      <c r="MF5" s="6">
        <f t="shared" si="5"/>
        <v>2</v>
      </c>
      <c r="MG5" s="6">
        <f t="shared" si="5"/>
        <v>3</v>
      </c>
      <c r="MH5" s="6">
        <f t="shared" si="5"/>
        <v>4</v>
      </c>
      <c r="MI5" s="6">
        <f t="shared" si="5"/>
        <v>5</v>
      </c>
      <c r="MJ5" s="6">
        <f t="shared" si="5"/>
        <v>6</v>
      </c>
      <c r="MK5" s="6">
        <f t="shared" si="5"/>
        <v>7</v>
      </c>
      <c r="ML5" s="6">
        <f t="shared" si="5"/>
        <v>8</v>
      </c>
      <c r="MM5" s="6">
        <f t="shared" si="5"/>
        <v>9</v>
      </c>
      <c r="MN5" s="6">
        <f t="shared" si="5"/>
        <v>10</v>
      </c>
      <c r="MO5" s="6">
        <f t="shared" si="5"/>
        <v>11</v>
      </c>
      <c r="MP5" s="6">
        <f t="shared" si="5"/>
        <v>12</v>
      </c>
      <c r="MQ5" s="6">
        <f t="shared" si="5"/>
        <v>13</v>
      </c>
      <c r="MR5" s="6">
        <f t="shared" si="5"/>
        <v>14</v>
      </c>
      <c r="MS5" s="6">
        <f t="shared" si="5"/>
        <v>15</v>
      </c>
      <c r="MT5" s="6">
        <f t="shared" si="5"/>
        <v>16</v>
      </c>
      <c r="MU5" s="6">
        <f t="shared" si="5"/>
        <v>17</v>
      </c>
      <c r="MV5" s="6">
        <f t="shared" si="5"/>
        <v>18</v>
      </c>
      <c r="MW5" s="6">
        <f t="shared" si="5"/>
        <v>19</v>
      </c>
      <c r="MX5" s="6">
        <f t="shared" si="5"/>
        <v>20</v>
      </c>
      <c r="MY5" s="6">
        <f t="shared" si="5"/>
        <v>21</v>
      </c>
      <c r="MZ5" s="6">
        <f t="shared" si="5"/>
        <v>22</v>
      </c>
      <c r="NA5" s="6">
        <f t="shared" si="5"/>
        <v>23</v>
      </c>
      <c r="NB5" s="6">
        <f t="shared" si="5"/>
        <v>24</v>
      </c>
      <c r="NC5" s="6">
        <f t="shared" si="5"/>
        <v>25</v>
      </c>
      <c r="ND5" s="6">
        <f t="shared" si="5"/>
        <v>26</v>
      </c>
      <c r="NE5" s="6">
        <f t="shared" si="5"/>
        <v>27</v>
      </c>
      <c r="NF5" s="6">
        <f t="shared" si="5"/>
        <v>28</v>
      </c>
      <c r="NG5" s="6">
        <f t="shared" si="5"/>
        <v>29</v>
      </c>
      <c r="NH5" s="6">
        <f t="shared" si="5"/>
        <v>30</v>
      </c>
      <c r="NI5" s="6">
        <f t="shared" si="5"/>
        <v>31</v>
      </c>
      <c r="NJ5" s="6" t="str">
        <f t="shared" si="5"/>
        <v/>
      </c>
      <c r="NK5" s="36" t="s">
        <v>33</v>
      </c>
      <c r="NL5" s="34" t="s">
        <v>26</v>
      </c>
      <c r="NM5" s="34" t="s">
        <v>49</v>
      </c>
      <c r="NN5" s="34" t="s">
        <v>27</v>
      </c>
      <c r="NO5" s="34" t="s">
        <v>37</v>
      </c>
      <c r="NP5" s="33" t="s">
        <v>28</v>
      </c>
      <c r="NQ5" s="33" t="s">
        <v>40</v>
      </c>
      <c r="NR5" s="33" t="s">
        <v>41</v>
      </c>
      <c r="NS5" s="33" t="s">
        <v>51</v>
      </c>
      <c r="NT5" s="33" t="s">
        <v>35</v>
      </c>
      <c r="NU5" s="33" t="s">
        <v>36</v>
      </c>
    </row>
    <row r="6" spans="1:761" x14ac:dyDescent="0.25">
      <c r="A6" s="3" t="s">
        <v>29</v>
      </c>
      <c r="B6" s="8" t="str">
        <f>IF(B$5="","",VLOOKUP(WEEKDAY(DATE($A$2,$A$3+$A$1-1,B5),2),Sheet3!$D$1:$E$7,2,0))</f>
        <v/>
      </c>
      <c r="C6" s="8" t="str">
        <f>IF(C$5="","",VLOOKUP(WEEKDAY(DATE($A$2,$A$3+$A$1-1,C5),2),Sheet3!$D$1:$E$7,2,0))</f>
        <v/>
      </c>
      <c r="D6" s="8" t="str">
        <f>IF(D$5="","",VLOOKUP(WEEKDAY(DATE($A$2,$A$3+$A$1-1,D5),2),Sheet3!$D$1:$E$7,2,0))</f>
        <v/>
      </c>
      <c r="E6" s="8" t="str">
        <f>IF(E$5="","",VLOOKUP(WEEKDAY(DATE($A$2,$A$3+$A$1-1,E5),2),Sheet3!$D$1:$E$7,2,0))</f>
        <v/>
      </c>
      <c r="F6" s="8" t="str">
        <f>IF(F$5="","",VLOOKUP(WEEKDAY(DATE($A$2,$A$3+$A$1-1,F5),2),Sheet3!$D$1:$E$7,2,0))</f>
        <v/>
      </c>
      <c r="G6" s="8" t="str">
        <f>IF(G$5="","",VLOOKUP(WEEKDAY(DATE($A$2,$A$3+$A$1-1,G5),2),Sheet3!$D$1:$E$7,2,0))</f>
        <v/>
      </c>
      <c r="H6" s="8" t="str">
        <f>IF(H$5="","",VLOOKUP(WEEKDAY(DATE($A$2,$A$3+$A$1-1,H5),2),Sheet3!$D$1:$E$7,2,0))</f>
        <v/>
      </c>
      <c r="I6" s="8" t="str">
        <f>IF(I$5="","",VLOOKUP(WEEKDAY(DATE($A$2,$A$3+$A$1-1,I5),2),Sheet3!$D$1:$E$7,2,0))</f>
        <v/>
      </c>
      <c r="J6" s="8" t="str">
        <f>IF(J$5="","",VLOOKUP(WEEKDAY(DATE($A$2,$A$3+$A$1-1,J5),2),Sheet3!$D$1:$E$7,2,0))</f>
        <v/>
      </c>
      <c r="K6" s="8" t="str">
        <f>IF(K$5="","",VLOOKUP(WEEKDAY(DATE($A$2,$A$3+$A$1-1,K5),2),Sheet3!$D$1:$E$7,2,0))</f>
        <v/>
      </c>
      <c r="L6" s="8" t="str">
        <f>IF(L$5="","",VLOOKUP(WEEKDAY(DATE($A$2,$A$3+$A$1-1,L5),2),Sheet3!$D$1:$E$7,2,0))</f>
        <v/>
      </c>
      <c r="M6" s="8" t="str">
        <f>IF(M$5="","",VLOOKUP(WEEKDAY(DATE($A$2,$A$3+$A$1-1,M5),2),Sheet3!$D$1:$E$7,2,0))</f>
        <v/>
      </c>
      <c r="N6" s="8" t="str">
        <f>IF(N$5="","",VLOOKUP(WEEKDAY(DATE($A$2,$A$3+$A$1-1,N5),2),Sheet3!$D$1:$E$7,2,0))</f>
        <v/>
      </c>
      <c r="O6" s="8" t="str">
        <f>IF(O$5="","",VLOOKUP(WEEKDAY(DATE($A$2,$A$3+$A$1-1,O5),2),Sheet3!$D$1:$E$7,2,0))</f>
        <v/>
      </c>
      <c r="P6" s="8" t="str">
        <f>IF(P$5="","",VLOOKUP(WEEKDAY(DATE($A$2,$A$3+$A$1-1,P5),2),Sheet3!$D$1:$E$7,2,0))</f>
        <v/>
      </c>
      <c r="Q6" s="8" t="str">
        <f>IF(Q$5="","",VLOOKUP(WEEKDAY(DATE($A$2,$A$3+$A$1-1,Q5),2),Sheet3!$D$1:$E$7,2,0))</f>
        <v/>
      </c>
      <c r="R6" s="8" t="str">
        <f>IF(R$5="","",VLOOKUP(WEEKDAY(DATE($A$2,$A$3+$A$1-1,R5),2),Sheet3!$D$1:$E$7,2,0))</f>
        <v/>
      </c>
      <c r="S6" s="8" t="str">
        <f>IF(S$5="","",VLOOKUP(WEEKDAY(DATE($A$2,$A$3+$A$1-1,S5),2),Sheet3!$D$1:$E$7,2,0))</f>
        <v/>
      </c>
      <c r="T6" s="8" t="str">
        <f>IF(T$5="","",VLOOKUP(WEEKDAY(DATE($A$2,$A$3+$A$1-1,T5),2),Sheet3!$D$1:$E$7,2,0))</f>
        <v/>
      </c>
      <c r="U6" s="8" t="str">
        <f>IF(U$5="","",VLOOKUP(WEEKDAY(DATE($A$2,$A$3+$A$1-1,U5),2),Sheet3!$D$1:$E$7,2,0))</f>
        <v/>
      </c>
      <c r="V6" s="8" t="str">
        <f>IF(V$5="","",VLOOKUP(WEEKDAY(DATE($A$2,$A$3+$A$1-1,V5),2),Sheet3!$D$1:$E$7,2,0))</f>
        <v/>
      </c>
      <c r="W6" s="8" t="str">
        <f>IF(W$5="","",VLOOKUP(WEEKDAY(DATE($A$2,$A$3+$A$1-1,W5),2),Sheet3!$D$1:$E$7,2,0))</f>
        <v/>
      </c>
      <c r="X6" s="8" t="str">
        <f>IF(X$5="","",VLOOKUP(WEEKDAY(DATE($A$2,$A$3+$A$1-1,X5),2),Sheet3!$D$1:$E$7,2,0))</f>
        <v/>
      </c>
      <c r="Y6" s="8" t="str">
        <f>IF(Y$5="","",VLOOKUP(WEEKDAY(DATE($A$2,$A$3+$A$1-1,Y5),2),Sheet3!$D$1:$E$7,2,0))</f>
        <v/>
      </c>
      <c r="Z6" s="8" t="str">
        <f>IF(Z$5="","",VLOOKUP(WEEKDAY(DATE($A$2,$A$3+$A$1-1,Z5),2),Sheet3!$D$1:$E$7,2,0))</f>
        <v/>
      </c>
      <c r="AA6" s="8" t="str">
        <f>IF(AA$5="","",VLOOKUP(WEEKDAY(DATE($A$2,$A$3+$A$1-1,AA5),2),Sheet3!$D$1:$E$7,2,0))</f>
        <v/>
      </c>
      <c r="AB6" s="8" t="str">
        <f>IF(AB$5="","",VLOOKUP(WEEKDAY(DATE($A$2,$A$3+$A$1-1,AB5),2),Sheet3!$D$1:$E$7,2,0))</f>
        <v/>
      </c>
      <c r="AC6" s="8" t="str">
        <f>IF(AC$5="","",VLOOKUP(WEEKDAY(DATE($A$2,$A$3+$A$1-1,AC5),2),Sheet3!$D$1:$E$7,2,0))</f>
        <v/>
      </c>
      <c r="AD6" s="8" t="str">
        <f>IF(AD$5="","",VLOOKUP(WEEKDAY(DATE($A$2,$A$3+$A$1-1,AD5),2),Sheet3!$D$1:$E$7,2,0))</f>
        <v/>
      </c>
      <c r="AE6" s="8" t="str">
        <f>IF(AE$5="","",VLOOKUP(WEEKDAY(DATE($A$2,$A$3+$A$1-1,AE5),2),Sheet3!$D$1:$E$7,2,0))</f>
        <v/>
      </c>
      <c r="AF6" s="8" t="str">
        <f>IF(AF$5="","",VLOOKUP(WEEKDAY(DATE($A$2,$A$3+$A$1-1,AF5),2),Sheet3!$D$1:$E$7,2,0))</f>
        <v/>
      </c>
      <c r="AG6" s="8" t="str">
        <f>IF(AG$5="","",VLOOKUP(WEEKDAY(DATE($A$2,$A$3+$A$1-1,AG5),2),Sheet3!$D$1:$E$7,2,0))</f>
        <v/>
      </c>
      <c r="AH6" s="8" t="str">
        <f>IF(AH$5="","",VLOOKUP(WEEKDAY(DATE($A$2,$A$3+$A$1-1,AH5),2),Sheet3!$D$1:$E$7,2,0))</f>
        <v/>
      </c>
      <c r="AI6" s="8" t="str">
        <f>IF(AI$5="","",VLOOKUP(WEEKDAY(DATE($A$2,$A$3+$A$1-1,AI5),2),Sheet3!$D$1:$E$7,2,0))</f>
        <v/>
      </c>
      <c r="AJ6" s="8" t="str">
        <f>IF(AJ$5="","",VLOOKUP(WEEKDAY(DATE($A$2,$A$3+$A$1-1,AJ5),2),Sheet3!$D$1:$E$7,2,0))</f>
        <v/>
      </c>
      <c r="AK6" s="8" t="str">
        <f>IF(AK$5="","",VLOOKUP(WEEKDAY(DATE($A$2,$A$3+$A$1-1,AK5),2),Sheet3!$D$1:$E$7,2,0))</f>
        <v/>
      </c>
      <c r="AL6" s="8" t="str">
        <f>IF(AL$5="","",VLOOKUP(WEEKDAY(DATE($A$2,$A$3+$A$1-1,AL5),2),Sheet3!$D$1:$E$7,2,0))</f>
        <v/>
      </c>
      <c r="AM6" s="8" t="str">
        <f>IF(AM$5="","",VLOOKUP(WEEKDAY(DATE($A$2,$A$3+$A$1-1,AM5),2),Sheet3!$D$1:$E$7,2,0))</f>
        <v/>
      </c>
      <c r="AN6" s="8" t="str">
        <f>IF(AN$5="","",VLOOKUP(WEEKDAY(DATE($A$2,$A$3+$A$1-1,AN5),2),Sheet3!$D$1:$E$7,2,0))</f>
        <v/>
      </c>
      <c r="AO6" s="8" t="str">
        <f>IF(AO$5="","",VLOOKUP(WEEKDAY(DATE($A$2,$A$3+$A$1-1,AO5),2),Sheet3!$D$1:$E$7,2,0))</f>
        <v/>
      </c>
      <c r="AP6" s="8" t="str">
        <f>IF(AP$5="","",VLOOKUP(WEEKDAY(DATE($A$2,$A$3+$A$1-1,AP5),2),Sheet3!$D$1:$E$7,2,0))</f>
        <v/>
      </c>
      <c r="AQ6" s="8" t="str">
        <f>IF(AQ$5="","",VLOOKUP(WEEKDAY(DATE($A$2,$A$3+$A$1-1,AQ5),2),Sheet3!$D$1:$E$7,2,0))</f>
        <v/>
      </c>
      <c r="AR6" s="8" t="str">
        <f>IF(AR$5="","",VLOOKUP(WEEKDAY(DATE($A$2,$A$3+$A$1-1,AR5),2),Sheet3!$D$1:$E$7,2,0))</f>
        <v/>
      </c>
      <c r="AS6" s="8" t="str">
        <f>IF(AS$5="","",VLOOKUP(WEEKDAY(DATE($A$2,$A$3+$A$1-1,AS5),2),Sheet3!$D$1:$E$7,2,0))</f>
        <v/>
      </c>
      <c r="AT6" s="8" t="str">
        <f>IF(AT$5="","",VLOOKUP(WEEKDAY(DATE($A$2,$A$3+$A$1-1,AT5),2),Sheet3!$D$1:$E$7,2,0))</f>
        <v/>
      </c>
      <c r="AU6" s="8" t="str">
        <f>IF(AU$5="","",VLOOKUP(WEEKDAY(DATE($A$2,$A$3+$A$1-1,AU5),2),Sheet3!$D$1:$E$7,2,0))</f>
        <v/>
      </c>
      <c r="AV6" s="8" t="str">
        <f>IF(AV$5="","",VLOOKUP(WEEKDAY(DATE($A$2,$A$3+$A$1-1,AV5),2),Sheet3!$D$1:$E$7,2,0))</f>
        <v/>
      </c>
      <c r="AW6" s="8" t="str">
        <f>IF(AW$5="","",VLOOKUP(WEEKDAY(DATE($A$2,$A$3+$A$1-1,AW5),2),Sheet3!$D$1:$E$7,2,0))</f>
        <v/>
      </c>
      <c r="AX6" s="8" t="str">
        <f>IF(AX$5="","",VLOOKUP(WEEKDAY(DATE($A$2,$A$3+$A$1-1,AX5),2),Sheet3!$D$1:$E$7,2,0))</f>
        <v/>
      </c>
      <c r="AY6" s="8" t="str">
        <f>IF(AY$5="","",VLOOKUP(WEEKDAY(DATE($A$2,$A$3+$A$1-1,AY5),2),Sheet3!$D$1:$E$7,2,0))</f>
        <v/>
      </c>
      <c r="AZ6" s="8" t="str">
        <f>IF(AZ$5="","",VLOOKUP(WEEKDAY(DATE($A$2,$A$3+$A$1-1,AZ5),2),Sheet3!$D$1:$E$7,2,0))</f>
        <v/>
      </c>
      <c r="BA6" s="8" t="str">
        <f>IF(BA$5="","",VLOOKUP(WEEKDAY(DATE($A$2,$A$3+$A$1-1,BA5),2),Sheet3!$D$1:$E$7,2,0))</f>
        <v/>
      </c>
      <c r="BB6" s="8" t="str">
        <f>IF(BB$5="","",VLOOKUP(WEEKDAY(DATE($A$2,$A$3+$A$1-1,BB5),2),Sheet3!$D$1:$E$7,2,0))</f>
        <v/>
      </c>
      <c r="BC6" s="8" t="str">
        <f>IF(BC$5="","",VLOOKUP(WEEKDAY(DATE($A$2,$A$3+$A$1-1,BC5),2),Sheet3!$D$1:$E$7,2,0))</f>
        <v/>
      </c>
      <c r="BD6" s="8" t="str">
        <f>IF(BD$5="","",VLOOKUP(WEEKDAY(DATE($A$2,$A$3+$A$1-1,BD5),2),Sheet3!$D$1:$E$7,2,0))</f>
        <v/>
      </c>
      <c r="BE6" s="8" t="str">
        <f>IF(BE$5="","",VLOOKUP(WEEKDAY(DATE($A$2,$A$3+$A$1-1,BE5),2),Sheet3!$D$1:$E$7,2,0))</f>
        <v/>
      </c>
      <c r="BF6" s="8" t="str">
        <f>IF(BF$5="","",VLOOKUP(WEEKDAY(DATE($A$2,$A$3+$A$1-1,BF5),2),Sheet3!$D$1:$E$7,2,0))</f>
        <v/>
      </c>
      <c r="BG6" s="8" t="str">
        <f>IF(BG$5="","",VLOOKUP(WEEKDAY(DATE($A$2,$A$3+$A$1-1,BG5),2),Sheet3!$D$1:$E$7,2,0))</f>
        <v/>
      </c>
      <c r="BH6" s="8" t="str">
        <f>IF(BH$5="","",VLOOKUP(WEEKDAY(DATE($A$2,$A$3+$A$1-1,BH5),2),Sheet3!$D$1:$E$7,2,0))</f>
        <v/>
      </c>
      <c r="BI6" s="8" t="str">
        <f>IF(BI$5="","",VLOOKUP(WEEKDAY(DATE($A$2,$A$3+$A$1-1,BI5),2),Sheet3!$D$1:$E$7,2,0))</f>
        <v/>
      </c>
      <c r="BJ6" s="8" t="str">
        <f>IF(BJ$5="","",VLOOKUP(WEEKDAY(DATE($A$2,$A$3+$A$1-1,BJ5),2),Sheet3!$D$1:$E$7,2,0))</f>
        <v/>
      </c>
      <c r="BK6" s="8" t="str">
        <f>IF(BK$5="","",VLOOKUP(WEEKDAY(DATE($A$2,$A$3+$A$1-1,BK5),2),Sheet3!$D$1:$E$7,2,0))</f>
        <v/>
      </c>
      <c r="BL6" s="8" t="str">
        <f>IF(BL$5="","",VLOOKUP(WEEKDAY(DATE($A$2,$A$3+$A$1-1,BL5),2),Sheet3!$D$1:$E$7,2,0))</f>
        <v/>
      </c>
      <c r="BM6" s="8" t="str">
        <f>IF(BM$5="","",VLOOKUP(WEEKDAY(DATE($A$2,$A$3+$A$1-1,BM5),2),Sheet3!$D$1:$E$7,2,0))</f>
        <v/>
      </c>
      <c r="BN6" s="8" t="str">
        <f>IF(BN$5="","",VLOOKUP(WEEKDAY(DATE($A$2,$A$3+$A$1-1,BN5),2),Sheet3!$D$1:$E$7,2,0))</f>
        <v/>
      </c>
      <c r="BO6" s="8" t="str">
        <f>IF(BO$5="","",VLOOKUP(WEEKDAY(DATE($A$2,$A$3+$A$1-1,BO5),2),Sheet3!$D$1:$E$7,2,0))</f>
        <v/>
      </c>
      <c r="BP6" s="8" t="str">
        <f>IF(BP$5="","",VLOOKUP(WEEKDAY(DATE($A$2,$A$3+$A$1-1,BP5),2),Sheet3!$D$1:$E$7,2,0))</f>
        <v/>
      </c>
      <c r="BQ6" s="8" t="str">
        <f>IF(BQ$5="","",VLOOKUP(WEEKDAY(DATE($A$2,$A$3+$A$1-1,BQ5),2),Sheet3!$D$1:$E$7,2,0))</f>
        <v/>
      </c>
      <c r="BR6" s="8" t="str">
        <f>IF(BR$5="","",VLOOKUP(WEEKDAY(DATE($A$2,$A$3+$A$1-1,BR5),2),Sheet3!$D$1:$E$7,2,0))</f>
        <v/>
      </c>
      <c r="BS6" s="8" t="str">
        <f>IF(BS$5="","",VLOOKUP(WEEKDAY(DATE($A$2,$A$3+$A$1-1,BS5),2),Sheet3!$D$1:$E$7,2,0))</f>
        <v/>
      </c>
      <c r="BT6" s="8" t="str">
        <f>IF(BT$5="","",VLOOKUP(WEEKDAY(DATE($A$2,$A$3+$A$1-1,BT5),2),Sheet3!$D$1:$E$7,2,0))</f>
        <v/>
      </c>
      <c r="BU6" s="8" t="str">
        <f>IF(BU$5="","",VLOOKUP(WEEKDAY(DATE($A$2,$A$3+$A$1-1,BU5),2),Sheet3!$D$1:$E$7,2,0))</f>
        <v/>
      </c>
      <c r="BV6" s="8" t="str">
        <f>IF(BV$5="","",VLOOKUP(WEEKDAY(DATE($A$2,$A$3+$A$1-1,BV5),2),Sheet3!$D$1:$E$7,2,0))</f>
        <v/>
      </c>
      <c r="BW6" s="8" t="str">
        <f>IF(BW$5="","",VLOOKUP(WEEKDAY(DATE($A$2,$A$3+$A$1-1,BW5),2),Sheet3!$D$1:$E$7,2,0))</f>
        <v/>
      </c>
      <c r="BX6" s="8" t="str">
        <f>IF(BX$5="","",VLOOKUP(WEEKDAY(DATE($A$2,$A$3+$A$1-1,BX5),2),Sheet3!$D$1:$E$7,2,0))</f>
        <v/>
      </c>
      <c r="BY6" s="8" t="str">
        <f>IF(BY$5="","",VLOOKUP(WEEKDAY(DATE($A$2,$A$3+$A$1-1,BY5),2),Sheet3!$D$1:$E$7,2,0))</f>
        <v/>
      </c>
      <c r="BZ6" s="8" t="str">
        <f>IF(BZ$5="","",VLOOKUP(WEEKDAY(DATE($A$2,$A$3+$A$1-1,BZ5),2),Sheet3!$D$1:$E$7,2,0))</f>
        <v/>
      </c>
      <c r="CA6" s="8" t="str">
        <f>IF(CA$5="","",VLOOKUP(WEEKDAY(DATE($A$2,$A$3+$A$1-1,CA5),2),Sheet3!$D$1:$E$7,2,0))</f>
        <v/>
      </c>
      <c r="CB6" s="8" t="str">
        <f>IF(CB$5="","",VLOOKUP(WEEKDAY(DATE($A$2,$A$3+$A$1-1,CB5),2),Sheet3!$D$1:$E$7,2,0))</f>
        <v/>
      </c>
      <c r="CC6" s="8" t="str">
        <f>IF(CC$5="","",VLOOKUP(WEEKDAY(DATE($A$2,$A$3+$A$1-1,CC5),2),Sheet3!$D$1:$E$7,2,0))</f>
        <v/>
      </c>
      <c r="CD6" s="8" t="str">
        <f>IF(CD$5="","",VLOOKUP(WEEKDAY(DATE($A$2,$A$3+$A$1-1,CD5),2),Sheet3!$D$1:$E$7,2,0))</f>
        <v/>
      </c>
      <c r="CE6" s="8" t="str">
        <f>IF(CE$5="","",VLOOKUP(WEEKDAY(DATE($A$2,$A$3+$A$1-1,CE5),2),Sheet3!$D$1:$E$7,2,0))</f>
        <v/>
      </c>
      <c r="CF6" s="8" t="str">
        <f>IF(CF$5="","",VLOOKUP(WEEKDAY(DATE($A$2,$A$3+$A$1-1,CF5),2),Sheet3!$D$1:$E$7,2,0))</f>
        <v/>
      </c>
      <c r="CG6" s="8" t="str">
        <f>IF(CG$5="","",VLOOKUP(WEEKDAY(DATE($A$2,$A$3+$A$1-1,CG5),2),Sheet3!$D$1:$E$7,2,0))</f>
        <v/>
      </c>
      <c r="CH6" s="8" t="str">
        <f>IF(CH$5="","",VLOOKUP(WEEKDAY(DATE($A$2,$A$3+$A$1-1,CH5),2),Sheet3!$D$1:$E$7,2,0))</f>
        <v/>
      </c>
      <c r="CI6" s="8" t="str">
        <f>IF(CI$5="","",VLOOKUP(WEEKDAY(DATE($A$2,$A$3+$A$1-1,CI5),2),Sheet3!$D$1:$E$7,2,0))</f>
        <v/>
      </c>
      <c r="CJ6" s="8" t="str">
        <f>IF(CJ$5="","",VLOOKUP(WEEKDAY(DATE($A$2,$A$3+$A$1-1,CJ5),2),Sheet3!$D$1:$E$7,2,0))</f>
        <v/>
      </c>
      <c r="CK6" s="8" t="str">
        <f>IF(CK$5="","",VLOOKUP(WEEKDAY(DATE($A$2,$A$3+$A$1-1,CK5),2),Sheet3!$D$1:$E$7,2,0))</f>
        <v/>
      </c>
      <c r="CL6" s="8" t="str">
        <f>IF(CL$5="","",VLOOKUP(WEEKDAY(DATE($A$2,$A$3+$A$1-1,CL5),2),Sheet3!$D$1:$E$7,2,0))</f>
        <v/>
      </c>
      <c r="CM6" s="8" t="str">
        <f>IF(CM$5="","",VLOOKUP(WEEKDAY(DATE($A$2,$A$3+$A$1-1,CM5),2),Sheet3!$D$1:$E$7,2,0))</f>
        <v/>
      </c>
      <c r="CN6" s="8" t="str">
        <f>IF(CN$5="","",VLOOKUP(WEEKDAY(DATE($A$2,$A$3+$A$1-1,CN5),2),Sheet3!$D$1:$E$7,2,0))</f>
        <v/>
      </c>
      <c r="CO6" s="8" t="str">
        <f>IF(CO$5="","",VLOOKUP(WEEKDAY(DATE($A$2,$A$3+$A$1-1,CO5),2),Sheet3!$D$1:$E$7,2,0))</f>
        <v/>
      </c>
      <c r="CP6" s="8" t="str">
        <f>IF(CP$5="","",VLOOKUP(WEEKDAY(DATE($A$2,$A$3+$A$1-1,CP5),2),Sheet3!$D$1:$E$7,2,0))</f>
        <v/>
      </c>
      <c r="CQ6" s="8" t="s">
        <v>59</v>
      </c>
      <c r="CR6" s="8" t="str">
        <f>IF(CR$5="","",VLOOKUP(WEEKDAY(DATE($A$2,$A$3+$A$1-1,CR5),2),Sheet3!$D$1:$E$7,2,0))</f>
        <v/>
      </c>
      <c r="CS6" s="8" t="str">
        <f>IF(CS$5="","",VLOOKUP(WEEKDAY(DATE($A$2,$A$3+$A$1-1,CS5),2),Sheet3!$D$1:$E$7,2,0))</f>
        <v/>
      </c>
      <c r="CT6" s="8" t="str">
        <f>IF(CT$5="","",VLOOKUP(WEEKDAY(DATE($A$2,$A$3+$A$1-1,CT5),2),Sheet3!$D$1:$E$7,2,0))</f>
        <v/>
      </c>
      <c r="CU6" s="8" t="str">
        <f>IF(CU$5="","",VLOOKUP(WEEKDAY(DATE($A$2,$A$3+$A$1-1,CU5),2),Sheet3!$D$1:$E$7,2,0))</f>
        <v/>
      </c>
      <c r="CV6" s="8" t="str">
        <f>IF(CV$5="","",VLOOKUP(WEEKDAY(DATE($A$2,$A$3+$A$1-1,CV5),2),Sheet3!$D$1:$E$7,2,0))</f>
        <v/>
      </c>
      <c r="CW6" s="8" t="str">
        <f>IF(CW$5="","",VLOOKUP(WEEKDAY(DATE($A$2,$A$3+$A$1-1,CW5),2),Sheet3!$D$1:$E$7,2,0))</f>
        <v/>
      </c>
      <c r="CX6" s="8" t="str">
        <f>IF(CX$5="","",VLOOKUP(WEEKDAY(DATE($A$2,$A$3+$A$1-1,CX5),2),Sheet3!$D$1:$E$7,2,0))</f>
        <v/>
      </c>
      <c r="CY6" s="8" t="str">
        <f>IF(CY$5="","",VLOOKUP(WEEKDAY(DATE($A$2,$A$3+$A$1-1,CY5),2),Sheet3!$D$1:$E$7,2,0))</f>
        <v/>
      </c>
      <c r="CZ6" s="8" t="str">
        <f>IF(CZ$5="","",VLOOKUP(WEEKDAY(DATE($A$2,$A$3+$A$1-1,CZ5),2),Sheet3!$D$1:$E$7,2,0))</f>
        <v/>
      </c>
      <c r="DA6" s="8" t="str">
        <f>IF(DA$5="","",VLOOKUP(WEEKDAY(DATE($A$2,$A$3+$A$1-1,DA5),2),Sheet3!$D$1:$E$7,2,0))</f>
        <v/>
      </c>
      <c r="DB6" s="8" t="str">
        <f>IF(DB$5="","",VLOOKUP(WEEKDAY(DATE($A$2,$A$3+$A$1-1,DB5),2),Sheet3!$D$1:$E$7,2,0))</f>
        <v/>
      </c>
      <c r="DC6" s="8" t="str">
        <f>IF(DC$5="","",VLOOKUP(WEEKDAY(DATE($A$2,$A$3+$A$1-1,DC5),2),Sheet3!$D$1:$E$7,2,0))</f>
        <v/>
      </c>
      <c r="DD6" s="8" t="str">
        <f>IF(DD$5="","",VLOOKUP(WEEKDAY(DATE($A$2,$A$3+$A$1-1,DD5),2),Sheet3!$D$1:$E$7,2,0))</f>
        <v/>
      </c>
      <c r="DE6" s="8" t="str">
        <f>IF(DE$5="","",VLOOKUP(WEEKDAY(DATE($A$2,$A$3+$A$1-1,DE5),2),Sheet3!$D$1:$E$7,2,0))</f>
        <v/>
      </c>
      <c r="DF6" s="8" t="str">
        <f>IF(DF$5="","",VLOOKUP(WEEKDAY(DATE($A$2,$A$3+$A$1-1,DF5),2),Sheet3!$D$1:$E$7,2,0))</f>
        <v/>
      </c>
      <c r="DG6" s="8" t="str">
        <f>IF(DG$5="","",VLOOKUP(WEEKDAY(DATE($A$2,$A$3+$A$1-1,DG5),2),Sheet3!$D$1:$E$7,2,0))</f>
        <v/>
      </c>
      <c r="DH6" s="8" t="str">
        <f>IF(DH$5="","",VLOOKUP(WEEKDAY(DATE($A$2,$A$3+$A$1-1,DH5),2),Sheet3!$D$1:$E$7,2,0))</f>
        <v/>
      </c>
      <c r="DI6" s="8" t="str">
        <f>IF(DI$5="","",VLOOKUP(WEEKDAY(DATE($A$2,$A$3+$A$1-1,DI5),2),Sheet3!$D$1:$E$7,2,0))</f>
        <v/>
      </c>
      <c r="DJ6" s="8" t="str">
        <f>IF(DJ$5="","",VLOOKUP(WEEKDAY(DATE($A$2,$A$3+$A$1-1,DJ5),2),Sheet3!$D$1:$E$7,2,0))</f>
        <v/>
      </c>
      <c r="DK6" s="8" t="str">
        <f>IF(DK$5="","",VLOOKUP(WEEKDAY(DATE($A$2,$A$3+$A$1-1,DK5),2),Sheet3!$D$1:$E$7,2,0))</f>
        <v/>
      </c>
      <c r="DL6" s="8" t="str">
        <f>IF(DL$5="","",VLOOKUP(WEEKDAY(DATE($A$2,$A$3+$A$1-1,DL5),2),Sheet3!$D$1:$E$7,2,0))</f>
        <v/>
      </c>
      <c r="DM6" s="8" t="str">
        <f>IF(DM$5="","",VLOOKUP(WEEKDAY(DATE($A$2,$A$3+$A$1-1,DM5),2),Sheet3!$D$1:$E$7,2,0))</f>
        <v/>
      </c>
      <c r="DN6" s="8" t="str">
        <f>IF(DN$5="","",VLOOKUP(WEEKDAY(DATE($A$2,$A$3+$A$1-1,DN5),2),Sheet3!$D$1:$E$7,2,0))</f>
        <v/>
      </c>
      <c r="DO6" s="8" t="str">
        <f>IF(DO$5="","",VLOOKUP(WEEKDAY(DATE($A$2,$A$3+$A$1-1,DO5),2),Sheet3!$D$1:$E$7,2,0))</f>
        <v/>
      </c>
      <c r="DP6" s="8" t="str">
        <f>IF(DP$5="","",VLOOKUP(WEEKDAY(DATE($A$2,$A$3+$A$1-1,DP5),2),Sheet3!$D$1:$E$7,2,0))</f>
        <v/>
      </c>
      <c r="DQ6" s="8" t="str">
        <f>IF(DQ$5="","",VLOOKUP(WEEKDAY(DATE($A$2,$A$3+$A$1-1,DQ5),2),Sheet3!$D$1:$E$7,2,0))</f>
        <v/>
      </c>
      <c r="DR6" s="8" t="str">
        <f>IF(DR$5="","",VLOOKUP(WEEKDAY(DATE($A$2,$A$3+$A$1-1,DR5),2),Sheet3!$D$1:$E$7,2,0))</f>
        <v/>
      </c>
      <c r="DS6" s="8" t="str">
        <f>IF(DS$5="","",VLOOKUP(WEEKDAY(DATE($A$2,$A$3+$A$1-1,DS5),2),Sheet3!$D$1:$E$7,2,0))</f>
        <v/>
      </c>
      <c r="DT6" s="8" t="str">
        <f>IF(DT$5="","",VLOOKUP(WEEKDAY(DATE($A$2,$A$3+$A$1-1,DT5),2),Sheet3!$D$1:$E$7,2,0))</f>
        <v/>
      </c>
      <c r="DU6" s="8" t="str">
        <f>IF(DU$5="","",VLOOKUP(WEEKDAY(DATE($A$2,$A$3+$A$1-1,DU5),2),Sheet3!$D$1:$E$7,2,0))</f>
        <v/>
      </c>
      <c r="DV6" s="8" t="str">
        <f>IF(DV$5="","",VLOOKUP(WEEKDAY(DATE($A$2,$A$3+$A$1-1,DV5),2),Sheet3!$D$1:$E$7,2,0))</f>
        <v/>
      </c>
      <c r="DW6" s="8" t="str">
        <f>IF(DW$5="","",VLOOKUP(WEEKDAY(DATE($A$2,$A$3+$A$1-1,DW5),2),Sheet3!$D$1:$E$7,2,0))</f>
        <v/>
      </c>
      <c r="DX6" s="8" t="str">
        <f>IF(DX$5="","",VLOOKUP(WEEKDAY(DATE($A$2,$A$3+$A$1-1,DX5),2),Sheet3!$D$1:$E$7,2,0))</f>
        <v/>
      </c>
      <c r="DY6" s="8" t="str">
        <f>IF(DY$5="","",VLOOKUP(WEEKDAY(DATE($A$2,$A$3+$A$1-1,DY5),2),Sheet3!$D$1:$E$7,2,0))</f>
        <v/>
      </c>
      <c r="DZ6" s="8" t="str">
        <f>IF(DZ$5="","",VLOOKUP(WEEKDAY(DATE($A$2,$A$3+$A$1-1,DZ5),2),Sheet3!$D$1:$E$7,2,0))</f>
        <v/>
      </c>
      <c r="EA6" s="8" t="str">
        <f>IF(EA$5="","",VLOOKUP(WEEKDAY(DATE($A$2,$A$3+$A$1-1,EA5),2),Sheet3!$D$1:$E$7,2,0))</f>
        <v/>
      </c>
      <c r="EB6" s="8" t="str">
        <f>IF(EB$5="","",VLOOKUP(WEEKDAY(DATE($A$2,$A$3+$A$1-1,EB5),2),Sheet3!$D$1:$E$7,2,0))</f>
        <v/>
      </c>
      <c r="EC6" s="8" t="str">
        <f>IF(EC$5="","",VLOOKUP(WEEKDAY(DATE($A$2,$A$3+$A$1-1,EC5),2),Sheet3!$D$1:$E$7,2,0))</f>
        <v/>
      </c>
      <c r="ED6" s="8" t="str">
        <f>IF(ED$5="","",VLOOKUP(WEEKDAY(DATE($A$2,$A$3+$A$1-1,ED5),2),Sheet3!$D$1:$E$7,2,0))</f>
        <v/>
      </c>
      <c r="EE6" s="8" t="str">
        <f>IF(EE$5="","",VLOOKUP(WEEKDAY(DATE($A$2,$A$3+$A$1-1,EE5),2),Sheet3!$D$1:$E$7,2,0))</f>
        <v/>
      </c>
      <c r="EF6" s="8" t="str">
        <f>IF(EF$5="","",VLOOKUP(WEEKDAY(DATE($A$2,$A$3+$A$1-1,EF5),2),Sheet3!$D$1:$E$7,2,0))</f>
        <v/>
      </c>
      <c r="EG6" s="8" t="str">
        <f>IF(EG$5="","",VLOOKUP(WEEKDAY(DATE($A$2,$A$3+$A$1-1,EG5),2),Sheet3!$D$1:$E$7,2,0))</f>
        <v/>
      </c>
      <c r="EH6" s="8" t="str">
        <f>IF(EH$5="","",VLOOKUP(WEEKDAY(DATE($A$2,$A$3+$A$1-1,EH5),2),Sheet3!$D$1:$E$7,2,0))</f>
        <v/>
      </c>
      <c r="EI6" s="8" t="str">
        <f>IF(EI$5="","",VLOOKUP(WEEKDAY(DATE($A$2,$A$3+$A$1-1,EI5),2),Sheet3!$D$1:$E$7,2,0))</f>
        <v/>
      </c>
      <c r="EJ6" s="8" t="str">
        <f>IF(EJ$5="","",VLOOKUP(WEEKDAY(DATE($A$2,$A$3+$A$1-1,EJ5),2),Sheet3!$D$1:$E$7,2,0))</f>
        <v/>
      </c>
      <c r="EK6" s="8" t="str">
        <f>IF(EK$5="","",VLOOKUP(WEEKDAY(DATE($A$2,$A$3+$A$1-1,EK5),2),Sheet3!$D$1:$E$7,2,0))</f>
        <v/>
      </c>
      <c r="EL6" s="8" t="str">
        <f>IF(EL$5="","",VLOOKUP(WEEKDAY(DATE($A$2,$A$3+$A$1-1,EL5),2),Sheet3!$D$1:$E$7,2,0))</f>
        <v/>
      </c>
      <c r="EM6" s="8" t="str">
        <f>IF(EM$5="","",VLOOKUP(WEEKDAY(DATE($A$2,$A$3+$A$1-1,EM5),2),Sheet3!$D$1:$E$7,2,0))</f>
        <v/>
      </c>
      <c r="EN6" s="8" t="str">
        <f>IF(EN$5="","",VLOOKUP(WEEKDAY(DATE($A$2,$A$3+$A$1-1,EN5),2),Sheet3!$D$1:$E$7,2,0))</f>
        <v/>
      </c>
      <c r="EO6" s="8" t="str">
        <f>IF(EO$5="","",VLOOKUP(WEEKDAY(DATE($A$2,$A$3+$A$1-1,EO5),2),Sheet3!$D$1:$E$7,2,0))</f>
        <v/>
      </c>
      <c r="EP6" s="8" t="str">
        <f>IF(EP$5="","",VLOOKUP(WEEKDAY(DATE($A$2,$A$3+$A$1-1,EP5),2),Sheet3!$D$1:$E$7,2,0))</f>
        <v/>
      </c>
      <c r="EQ6" s="8" t="str">
        <f>IF(EQ$5="","",VLOOKUP(WEEKDAY(DATE($A$2,$A$3+$A$1-1,EQ5),2),Sheet3!$D$1:$E$7,2,0))</f>
        <v/>
      </c>
      <c r="ER6" s="8" t="str">
        <f>IF(ER$5="","",VLOOKUP(WEEKDAY(DATE($A$2,$A$3+$A$1-1,ER5),2),Sheet3!$D$1:$E$7,2,0))</f>
        <v/>
      </c>
      <c r="ES6" s="8" t="str">
        <f>IF(ES$5="","",VLOOKUP(WEEKDAY(DATE($A$2,$A$3+$A$1-1,ES5),2),Sheet3!$D$1:$E$7,2,0))</f>
        <v/>
      </c>
      <c r="ET6" s="8" t="str">
        <f>IF(ET$5="","",VLOOKUP(WEEKDAY(DATE($A$2,$A$3+$A$1-1,ET5),2),Sheet3!$D$1:$E$7,2,0))</f>
        <v/>
      </c>
      <c r="EU6" s="8" t="str">
        <f>IF(EU$5="","",VLOOKUP(WEEKDAY(DATE($A$2,$A$3+$A$1-1,EU5),2),Sheet3!$D$1:$E$7,2,0))</f>
        <v/>
      </c>
      <c r="EV6" s="8" t="str">
        <f>IF(EV$5="","",VLOOKUP(WEEKDAY(DATE($A$2,$A$3+$A$1-1,EV5),2),Sheet3!$D$1:$E$7,2,0))</f>
        <v/>
      </c>
      <c r="EW6" s="8" t="str">
        <f>IF(EW$5="","",VLOOKUP(WEEKDAY(DATE($A$2,$A$3+$A$1-1,EW5),2),Sheet3!$D$1:$E$7,2,0))</f>
        <v/>
      </c>
      <c r="EX6" s="8" t="str">
        <f>IF(EX$5="","",VLOOKUP(WEEKDAY(DATE($A$2,$A$3+$A$1-1,EX5),2),Sheet3!$D$1:$E$7,2,0))</f>
        <v/>
      </c>
      <c r="EY6" s="8" t="str">
        <f>IF(EY$5="","",VLOOKUP(WEEKDAY(DATE($A$2,$A$3+$A$1-1,EY5),2),Sheet3!$D$1:$E$7,2,0))</f>
        <v/>
      </c>
      <c r="EZ6" s="8" t="str">
        <f>IF(EZ$5="","",VLOOKUP(WEEKDAY(DATE($A$2,$A$3+$A$1-1,EZ5),2),Sheet3!$D$1:$E$7,2,0))</f>
        <v/>
      </c>
      <c r="FA6" s="8" t="str">
        <f>IF(FA$5="","",VLOOKUP(WEEKDAY(DATE($A$2,$A$3+$A$1-1,FA5),2),Sheet3!$D$1:$E$7,2,0))</f>
        <v/>
      </c>
      <c r="FB6" s="8" t="str">
        <f>IF(FB$5="","",VLOOKUP(WEEKDAY(DATE($A$2,$A$3+$A$1-1,FB5),2),Sheet3!$D$1:$E$7,2,0))</f>
        <v/>
      </c>
      <c r="FC6" s="8" t="str">
        <f>IF(FC$5="","",VLOOKUP(WEEKDAY(DATE($A$2,$A$3+$A$1-1,FC5),2),Sheet3!$D$1:$E$7,2,0))</f>
        <v/>
      </c>
      <c r="FD6" s="8" t="str">
        <f>IF(FD$5="","",VLOOKUP(WEEKDAY(DATE($A$2,$A$3+$A$1-1,FD5),2),Sheet3!$D$1:$E$7,2,0))</f>
        <v/>
      </c>
      <c r="FE6" s="8" t="str">
        <f>IF(FE$5="","",VLOOKUP(WEEKDAY(DATE($A$2,$A$3+$A$1-1,FE5),2),Sheet3!$D$1:$E$7,2,0))</f>
        <v/>
      </c>
      <c r="FF6" s="8" t="str">
        <f>IF(FF$5="","",VLOOKUP(WEEKDAY(DATE($A$2,$A$3+$A$1-1,FF5),2),Sheet3!$D$1:$E$7,2,0))</f>
        <v/>
      </c>
      <c r="FG6" s="8" t="str">
        <f>IF(FG$5="","",VLOOKUP(WEEKDAY(DATE($A$2,$A$3+$A$1-1,FG5),2),Sheet3!$D$1:$E$7,2,0))</f>
        <v/>
      </c>
      <c r="FH6" s="8" t="str">
        <f>IF(FH$5="","",VLOOKUP(WEEKDAY(DATE($A$2,$A$3+$A$1-1,FH5),2),Sheet3!$D$1:$E$7,2,0))</f>
        <v/>
      </c>
      <c r="FI6" s="8" t="str">
        <f>IF(FI$5="","",VLOOKUP(WEEKDAY(DATE($A$2,$A$3+$A$1-1,FI5),2),Sheet3!$D$1:$E$7,2,0))</f>
        <v/>
      </c>
      <c r="FJ6" s="8" t="str">
        <f>IF(FJ$5="","",VLOOKUP(WEEKDAY(DATE($A$2,$A$3+$A$1-1,FJ5),2),Sheet3!$D$1:$E$7,2,0))</f>
        <v/>
      </c>
      <c r="FK6" s="8" t="str">
        <f>IF(FK$5="","",VLOOKUP(WEEKDAY(DATE($A$2,$A$3+$A$1-1,FK5),2),Sheet3!$D$1:$E$7,2,0))</f>
        <v/>
      </c>
      <c r="FL6" s="8" t="str">
        <f>IF(FL$5="","",VLOOKUP(WEEKDAY(DATE($A$2,$A$3+$A$1-1,FL5),2),Sheet3!$D$1:$E$7,2,0))</f>
        <v/>
      </c>
      <c r="FM6" s="8" t="str">
        <f>IF(FM$5="","",VLOOKUP(WEEKDAY(DATE($A$2,$A$3+$A$1-1,FM5),2),Sheet3!$D$1:$E$7,2,0))</f>
        <v/>
      </c>
      <c r="FN6" s="8" t="str">
        <f>IF(FN$5="","",VLOOKUP(WEEKDAY(DATE($A$2,$A$3+$A$1-1,FN5),2),Sheet3!$D$1:$E$7,2,0))</f>
        <v/>
      </c>
      <c r="FO6" s="8" t="str">
        <f>IF(FO$5="","",VLOOKUP(WEEKDAY(DATE($A$2,$A$3+$A$1-1,FO5),2),Sheet3!$D$1:$E$7,2,0))</f>
        <v/>
      </c>
      <c r="FP6" s="8" t="str">
        <f>IF(FP$5="","",VLOOKUP(WEEKDAY(DATE($A$2,$A$3+$A$1-1,FP5),2),Sheet3!$D$1:$E$7,2,0))</f>
        <v/>
      </c>
      <c r="FQ6" s="8" t="str">
        <f>IF(FQ$5="","",VLOOKUP(WEEKDAY(DATE($A$2,$A$3+$A$1-1,FQ5),2),Sheet3!$D$1:$E$7,2,0))</f>
        <v/>
      </c>
      <c r="FR6" s="8" t="str">
        <f>IF(FR$5="","",VLOOKUP(WEEKDAY(DATE($A$2,$A$3+$A$1-1,FR5),2),Sheet3!$D$1:$E$7,2,0))</f>
        <v/>
      </c>
      <c r="FS6" s="8" t="str">
        <f>IF(FS$5="","",VLOOKUP(WEEKDAY(DATE($A$2,$A$3+$A$1-1,FS5),2),Sheet3!$D$1:$E$7,2,0))</f>
        <v/>
      </c>
      <c r="FT6" s="8" t="str">
        <f>IF(FT$5="","",VLOOKUP(WEEKDAY(DATE($A$2,$A$3+$A$1-1,FT5),2),Sheet3!$D$1:$E$7,2,0))</f>
        <v/>
      </c>
      <c r="FU6" s="8" t="str">
        <f>IF(FU$5="","",VLOOKUP(WEEKDAY(DATE($A$2,$A$3+$A$1-1,FU5),2),Sheet3!$D$1:$E$7,2,0))</f>
        <v/>
      </c>
      <c r="FV6" s="8" t="str">
        <f>IF(FV$5="","",VLOOKUP(WEEKDAY(DATE($A$2,$A$3+$A$1-1,FV5),2),Sheet3!$D$1:$E$7,2,0))</f>
        <v/>
      </c>
      <c r="FW6" s="8" t="str">
        <f>IF(FW$5="","",VLOOKUP(WEEKDAY(DATE($A$2,$A$3+$A$1-1,FW5),2),Sheet3!$D$1:$E$7,2,0))</f>
        <v/>
      </c>
      <c r="FX6" s="8" t="str">
        <f>IF(FX$5="","",VLOOKUP(WEEKDAY(DATE($A$2,$A$3+$A$1-1,FX5),2),Sheet3!$D$1:$E$7,2,0))</f>
        <v/>
      </c>
      <c r="FY6" s="8" t="str">
        <f>IF(FY$5="","",VLOOKUP(WEEKDAY(DATE($A$2,$A$3+$A$1-1,FY5),2),Sheet3!$D$1:$E$7,2,0))</f>
        <v/>
      </c>
      <c r="FZ6" s="8" t="str">
        <f>IF(FZ$5="","",VLOOKUP(WEEKDAY(DATE($A$2,$A$3+$A$1-1,FZ5),2),Sheet3!$D$1:$E$7,2,0))</f>
        <v/>
      </c>
      <c r="GA6" s="8" t="str">
        <f>IF(GA$5="","",VLOOKUP(WEEKDAY(DATE($A$2,$A$3+$A$1-1,GA5),2),Sheet3!$D$1:$E$7,2,0))</f>
        <v/>
      </c>
      <c r="GB6" s="8" t="str">
        <f>IF(GB$5="","",VLOOKUP(WEEKDAY(DATE($A$2,$A$3+$A$1-1,GB5),2),Sheet3!$D$1:$E$7,2,0))</f>
        <v/>
      </c>
      <c r="GC6" s="8" t="str">
        <f>IF(GC$5="","",VLOOKUP(WEEKDAY(DATE($A$2,$A$3+$A$1-1,GC5),2),Sheet3!$D$1:$E$7,2,0))</f>
        <v/>
      </c>
      <c r="GD6" s="8" t="str">
        <f>IF(GD$5="","",VLOOKUP(WEEKDAY(DATE($A$2,$A$3+$A$1-1,GD5),2),Sheet3!$D$1:$E$7,2,0))</f>
        <v/>
      </c>
      <c r="GE6" s="8" t="str">
        <f>IF(GE$5="","",VLOOKUP(WEEKDAY(DATE($A$2,$A$3+$A$1-1,GE5),2),Sheet3!$D$1:$E$7,2,0))</f>
        <v/>
      </c>
      <c r="GF6" s="8" t="str">
        <f>IF(GF$5="","",VLOOKUP(WEEKDAY(DATE($A$2,$A$3+$A$1-1,GF5),2),Sheet3!$D$1:$E$7,2,0))</f>
        <v/>
      </c>
      <c r="GG6" s="8" t="str">
        <f>IF(GG$5="","",VLOOKUP(WEEKDAY(DATE($A$2,$A$3+$A$1-1,GG5),2),Sheet3!$D$1:$E$7,2,0))</f>
        <v/>
      </c>
      <c r="GH6" s="8" t="str">
        <f>IF(GH$5="","",VLOOKUP(WEEKDAY(DATE($A$2,$A$3+$A$1-1,GH5),2),Sheet3!$D$1:$E$7,2,0))</f>
        <v/>
      </c>
      <c r="GI6" s="8" t="str">
        <f>IF(GI$5="","",VLOOKUP(WEEKDAY(DATE($A$2,$A$3+$A$1-1,GI5),2),Sheet3!$D$1:$E$7,2,0))</f>
        <v/>
      </c>
      <c r="GJ6" s="8" t="str">
        <f>IF(GJ$5="","",VLOOKUP(WEEKDAY(DATE($A$2,$A$3+$A$1-1,GJ5),2),Sheet3!$D$1:$E$7,2,0))</f>
        <v/>
      </c>
      <c r="GK6" s="8" t="str">
        <f>IF(GK$5="","",VLOOKUP(WEEKDAY(DATE($A$2,$A$3+$A$1-1,GK5),2),Sheet3!$D$1:$E$7,2,0))</f>
        <v/>
      </c>
      <c r="GL6" s="8" t="str">
        <f>IF(GL$5="","",VLOOKUP(WEEKDAY(DATE($A$2,$A$3+$A$1-1,GL5),2),Sheet3!$D$1:$E$7,2,0))</f>
        <v/>
      </c>
      <c r="GM6" s="8" t="str">
        <f>IF(GM$5="","",VLOOKUP(WEEKDAY(DATE($A$2,$A$3+$A$1-1,GM5),2),Sheet3!$D$1:$E$7,2,0))</f>
        <v/>
      </c>
      <c r="GN6" s="8" t="str">
        <f>IF(GN$5="","",VLOOKUP(WEEKDAY(DATE($A$2,$A$3+$A$1-1,GN5),2),Sheet3!$D$1:$E$7,2,0))</f>
        <v/>
      </c>
      <c r="GO6" s="8" t="str">
        <f>IF(GO$5="","",VLOOKUP(WEEKDAY(DATE($A$2,$A$3+$A$1-1,GO5),2),Sheet3!$D$1:$E$7,2,0))</f>
        <v/>
      </c>
      <c r="GP6" s="8" t="str">
        <f>IF(GP$5="","",VLOOKUP(WEEKDAY(DATE($A$2,$A$3+$A$1-1,GP5),2),Sheet3!$D$1:$E$7,2,0))</f>
        <v/>
      </c>
      <c r="GQ6" s="8" t="str">
        <f>IF(GQ$5="","",VLOOKUP(WEEKDAY(DATE($A$2,$A$3+$A$1-1,GQ5),2),Sheet3!$D$1:$E$7,2,0))</f>
        <v/>
      </c>
      <c r="GR6" s="8" t="str">
        <f>IF(GR$5="","",VLOOKUP(WEEKDAY(DATE($A$2,$A$3+$A$1-1,GR5),2),Sheet3!$D$1:$E$7,2,0))</f>
        <v/>
      </c>
      <c r="GS6" s="8" t="str">
        <f>IF(GS$5="","",VLOOKUP(WEEKDAY(DATE($A$2,$A$3+$A$1-1,GS5),2),Sheet3!$D$1:$E$7,2,0))</f>
        <v/>
      </c>
      <c r="GT6" s="8" t="str">
        <f>IF(GT$5="","",VLOOKUP(WEEKDAY(DATE($A$2,$A$3+$A$1-1,GT5),2),Sheet3!$D$1:$E$7,2,0))</f>
        <v/>
      </c>
      <c r="GU6" s="8" t="str">
        <f>IF(GU$5="","",VLOOKUP(WEEKDAY(DATE($A$2,$A$3+$A$1-1,GU5),2),Sheet3!$D$1:$E$7,2,0))</f>
        <v/>
      </c>
      <c r="GV6" s="8" t="str">
        <f>IF(GV$5="","",VLOOKUP(WEEKDAY(DATE($A$2,$A$3+$A$1-1,GV5),2),Sheet3!$D$1:$E$7,2,0))</f>
        <v/>
      </c>
      <c r="GW6" s="8" t="str">
        <f>IF(GW$5="","",VLOOKUP(WEEKDAY(DATE($A$2,$A$3+$A$1-1,GW5),2),Sheet3!$D$1:$E$7,2,0))</f>
        <v/>
      </c>
      <c r="GX6" s="8" t="str">
        <f>IF(GX$5="","",VLOOKUP(WEEKDAY(DATE($A$2,$A$3+$A$1-1,GX5),2),Sheet3!$D$1:$E$7,2,0))</f>
        <v/>
      </c>
      <c r="GY6" s="8" t="str">
        <f>IF(GY$5="","",VLOOKUP(WEEKDAY(DATE($A$2,$A$3+$A$1-1,GY5),2),Sheet3!$D$1:$E$7,2,0))</f>
        <v/>
      </c>
      <c r="GZ6" s="8" t="str">
        <f>IF(GZ$5="","",VLOOKUP(WEEKDAY(DATE($A$2,$A$3+$A$1-1,GZ5),2),Sheet3!$D$1:$E$7,2,0))</f>
        <v/>
      </c>
      <c r="HA6" s="8" t="str">
        <f>IF(HA$5="","",VLOOKUP(WEEKDAY(DATE($A$2,$A$3+$A$1-1,HA5),2),Sheet3!$D$1:$E$7,2,0))</f>
        <v/>
      </c>
      <c r="HB6" s="8" t="str">
        <f>IF(HB$5="","",VLOOKUP(WEEKDAY(DATE($A$2,$A$3+$A$1-1,HB5),2),Sheet3!$D$1:$E$7,2,0))</f>
        <v/>
      </c>
      <c r="HC6" s="8" t="str">
        <f>IF(HC$5="","",VLOOKUP(WEEKDAY(DATE($A$2,$A$3+$A$1-1,HC5),2),Sheet3!$D$1:$E$7,2,0))</f>
        <v/>
      </c>
      <c r="HD6" s="8" t="str">
        <f>IF(HD$5="","",VLOOKUP(WEEKDAY(DATE($A$2,$A$3+$A$1-1,HD5),2),Sheet3!$D$1:$E$7,2,0))</f>
        <v/>
      </c>
      <c r="HE6" s="8" t="str">
        <f>IF(HE$5="","",VLOOKUP(WEEKDAY(DATE($A$2,$A$3+$A$1-1,HE5),2),Sheet3!$D$1:$E$7,2,0))</f>
        <v/>
      </c>
      <c r="HF6" s="8" t="str">
        <f>IF(HF$5="","",VLOOKUP(WEEKDAY(DATE($A$2,$A$3+$A$1-1,HF5),2),Sheet3!$D$1:$E$7,2,0))</f>
        <v/>
      </c>
      <c r="HG6" s="8" t="str">
        <f>IF(HG$5="","",VLOOKUP(WEEKDAY(DATE($A$2,$A$3+$A$1-1,HG5),2),Sheet3!$D$1:$E$7,2,0))</f>
        <v/>
      </c>
      <c r="HH6" s="8" t="str">
        <f>IF(HH$5="","",VLOOKUP(WEEKDAY(DATE($A$2,$A$3+$A$1-1,HH5),2),Sheet3!$D$1:$E$7,2,0))</f>
        <v/>
      </c>
      <c r="HI6" s="8" t="str">
        <f>IF(HI$5="","",VLOOKUP(WEEKDAY(DATE($A$2,$A$3+$A$1-1,HI5),2),Sheet3!$D$1:$E$7,2,0))</f>
        <v/>
      </c>
      <c r="HJ6" s="8" t="str">
        <f>IF(HJ$5="","",VLOOKUP(WEEKDAY(DATE($A$2,$A$3+$A$1-1,HJ5),2),Sheet3!$D$1:$E$7,2,0))</f>
        <v/>
      </c>
      <c r="HK6" s="8" t="str">
        <f>IF(HK$5="","",VLOOKUP(WEEKDAY(DATE($A$2,$A$3+$A$1-1,HK5),2),Sheet3!$D$1:$E$7,2,0))</f>
        <v/>
      </c>
      <c r="HL6" s="8" t="str">
        <f>IF(HL$5="","",VLOOKUP(WEEKDAY(DATE($A$2,$A$3+$A$1-1,HL5),2),Sheet3!$D$1:$E$7,2,0))</f>
        <v/>
      </c>
      <c r="HM6" s="8" t="str">
        <f>IF(HM$5="","",VLOOKUP(WEEKDAY(DATE($A$2,$A$3+$A$1-1,HM5),2),Sheet3!$D$1:$E$7,2,0))</f>
        <v/>
      </c>
      <c r="HN6" s="8" t="str">
        <f>IF(HN$5="","",VLOOKUP(WEEKDAY(DATE($A$2,$A$3+$A$1-1,HN5),2),Sheet3!$D$1:$E$7,2,0))</f>
        <v/>
      </c>
      <c r="HO6" s="8" t="str">
        <f>IF(HO$5="","",VLOOKUP(WEEKDAY(DATE($A$2,$A$3+$A$1-1,HO5),2),Sheet3!$D$1:$E$7,2,0))</f>
        <v/>
      </c>
      <c r="HP6" s="8" t="str">
        <f>IF(HP$5="","",VLOOKUP(WEEKDAY(DATE($A$2,$A$3+$A$1-1,HP5),2),Sheet3!$D$1:$E$7,2,0))</f>
        <v/>
      </c>
      <c r="HQ6" s="8" t="str">
        <f>IF(HQ$5="","",VLOOKUP(WEEKDAY(DATE($A$2,$A$3+$A$1-1,HQ5),2),Sheet3!$D$1:$E$7,2,0))</f>
        <v/>
      </c>
      <c r="HR6" s="8" t="str">
        <f>IF(HR$5="","",VLOOKUP(WEEKDAY(DATE($A$2,$A$3+$A$1-1,HR5),2),Sheet3!$D$1:$E$7,2,0))</f>
        <v/>
      </c>
      <c r="HS6" s="8" t="str">
        <f>IF(HS$5="","",VLOOKUP(WEEKDAY(DATE($A$2,$A$3+$A$1-1,HS5),2),Sheet3!$D$1:$E$7,2,0))</f>
        <v/>
      </c>
      <c r="HT6" s="8" t="str">
        <f>IF(HT$5="","",VLOOKUP(WEEKDAY(DATE($A$2,$A$3+$A$1-1,HT5),2),Sheet3!$D$1:$E$7,2,0))</f>
        <v/>
      </c>
      <c r="HU6" s="8" t="str">
        <f>IF(HU$5="","",VLOOKUP(WEEKDAY(DATE($A$2,$A$3+$A$1-1,HU5),2),Sheet3!$D$1:$E$7,2,0))</f>
        <v/>
      </c>
      <c r="HV6" s="8" t="str">
        <f>IF(HV$5="","",VLOOKUP(WEEKDAY(DATE($A$2,$A$3+$A$1-1,HV5),2),Sheet3!$D$1:$E$7,2,0))</f>
        <v/>
      </c>
      <c r="HW6" s="8" t="str">
        <f>IF(HW$5="","",VLOOKUP(WEEKDAY(DATE($A$2,$A$3+$A$1-1,HW5),2),Sheet3!$D$1:$E$7,2,0))</f>
        <v/>
      </c>
      <c r="HX6" s="8" t="str">
        <f>IF(HX$5="","",VLOOKUP(WEEKDAY(DATE($A$2,$A$3+$A$1-1,HX5),2),Sheet3!$D$1:$E$7,2,0))</f>
        <v/>
      </c>
      <c r="HY6" s="8" t="str">
        <f>IF(HY$5="","",VLOOKUP(WEEKDAY(DATE($A$2,$A$3+$A$1-1,HY5),2),Sheet3!$D$1:$E$7,2,0))</f>
        <v/>
      </c>
      <c r="HZ6" s="8" t="str">
        <f>IF(HZ$5="","",VLOOKUP(WEEKDAY(DATE($A$2,$A$3+$A$1-1,HZ5),2),Sheet3!$D$1:$E$7,2,0))</f>
        <v/>
      </c>
      <c r="IA6" s="8" t="str">
        <f>IF(IA$5="","",VLOOKUP(WEEKDAY(DATE($A$2,$A$3+$A$1-1,IA5),2),Sheet3!$D$1:$E$7,2,0))</f>
        <v/>
      </c>
      <c r="IB6" s="8" t="str">
        <f>IF(IB$5="","",VLOOKUP(WEEKDAY(DATE($A$2,$A$3+$A$1-1,IB5),2),Sheet3!$D$1:$E$7,2,0))</f>
        <v/>
      </c>
      <c r="IC6" s="8" t="str">
        <f>IF(IC$5="","",VLOOKUP(WEEKDAY(DATE($A$2,$A$3+$A$1-1,IC5),2),Sheet3!$D$1:$E$7,2,0))</f>
        <v/>
      </c>
      <c r="ID6" s="8" t="str">
        <f>IF(ID$5="","",VLOOKUP(WEEKDAY(DATE($A$2,$A$3+$A$1-1,ID5),2),Sheet3!$D$1:$E$7,2,0))</f>
        <v/>
      </c>
      <c r="IE6" s="8" t="str">
        <f>IF(IE$5="","",VLOOKUP(WEEKDAY(DATE($A$2,$A$3+$A$1-1,IE5),2),Sheet3!$D$1:$E$7,2,0))</f>
        <v/>
      </c>
      <c r="IF6" s="8" t="str">
        <f>IF(IF$5="","",VLOOKUP(WEEKDAY(DATE($A$2,$A$3+$A$1-1,IF5),2),Sheet3!$D$1:$E$7,2,0))</f>
        <v/>
      </c>
      <c r="IG6" s="8" t="str">
        <f>IF(IG$5="","",VLOOKUP(WEEKDAY(DATE($A$2,$A$3+$A$1-1,IG5),2),Sheet3!$D$1:$E$7,2,0))</f>
        <v/>
      </c>
      <c r="IH6" s="8" t="str">
        <f>IF(IH$5="","",VLOOKUP(WEEKDAY(DATE($A$2,$A$3+$A$1-1,IH5),2),Sheet3!$D$1:$E$7,2,0))</f>
        <v/>
      </c>
      <c r="II6" s="8" t="str">
        <f>IF(II$5="","",VLOOKUP(WEEKDAY(DATE($A$2,$A$3+$A$1-1,II5),2),Sheet3!$D$1:$E$7,2,0))</f>
        <v/>
      </c>
      <c r="IJ6" s="8" t="str">
        <f>IF(IJ$5="","",VLOOKUP(WEEKDAY(DATE($A$2,$A$3+$A$1-1,IJ5),2),Sheet3!$D$1:$E$7,2,0))</f>
        <v/>
      </c>
      <c r="IK6" s="8" t="str">
        <f>IF(IK$5="","",VLOOKUP(WEEKDAY(DATE($A$2,$A$3+$A$1-1,IK5),2),Sheet3!$D$1:$E$7,2,0))</f>
        <v/>
      </c>
      <c r="IL6" s="8" t="str">
        <f>IF(IL$5="","",VLOOKUP(WEEKDAY(DATE($A$2,$A$3+$A$1-1,IL5),2),Sheet3!$D$1:$E$7,2,0))</f>
        <v/>
      </c>
      <c r="IM6" s="8" t="str">
        <f>IF(IM$5="","",VLOOKUP(WEEKDAY(DATE($A$2,$A$3+$A$1-1,IM5),2),Sheet3!$D$1:$E$7,2,0))</f>
        <v/>
      </c>
      <c r="IN6" s="8" t="str">
        <f>IF(IN$5="","",VLOOKUP(WEEKDAY(DATE($A$2,$A$3+$A$1-1,IN5),2),Sheet3!$D$1:$E$7,2,0))</f>
        <v/>
      </c>
      <c r="IO6" s="8" t="str">
        <f>IF(IO$5="","",VLOOKUP(WEEKDAY(DATE($A$2,$A$3+$A$1-1,IO5),2),Sheet3!$D$1:$E$7,2,0))</f>
        <v/>
      </c>
      <c r="IP6" s="8" t="str">
        <f>IF(IP$5="","",VLOOKUP(WEEKDAY(DATE($A$2,$A$3+$A$1-1,IP5),2),Sheet3!$D$1:$E$7,2,0))</f>
        <v/>
      </c>
      <c r="IQ6" s="8" t="str">
        <f>IF(IQ$5="","",VLOOKUP(WEEKDAY(DATE($A$2,$A$3+$A$1-1,IQ5),2),Sheet3!$D$1:$E$7,2,0))</f>
        <v/>
      </c>
      <c r="IR6" s="8" t="str">
        <f>IF(IR$5="","",VLOOKUP(WEEKDAY(DATE($A$2,$A$3+$A$1-1,IR5),2),Sheet3!$D$1:$E$7,2,0))</f>
        <v/>
      </c>
      <c r="IS6" s="8" t="str">
        <f>IF(IS$5="","",VLOOKUP(WEEKDAY(DATE($A$2,$A$3+$A$1-1,IS5),2),Sheet3!$D$1:$E$7,2,0))</f>
        <v/>
      </c>
      <c r="IT6" s="8" t="str">
        <f>IF(IT$5="","",VLOOKUP(WEEKDAY(DATE($A$2,$A$3+$A$1-1,IT5),2),Sheet3!$D$1:$E$7,2,0))</f>
        <v/>
      </c>
      <c r="IU6" s="8" t="str">
        <f>IF(IU$5="","",VLOOKUP(WEEKDAY(DATE($A$2,$A$3+$A$1-1,IU5),2),Sheet3!$D$1:$E$7,2,0))</f>
        <v/>
      </c>
      <c r="IV6" s="8" t="str">
        <f>IF(IV$5="","",VLOOKUP(WEEKDAY(DATE($A$2,$A$3+$A$1-1,IV5),2),Sheet3!$D$1:$E$7,2,0))</f>
        <v/>
      </c>
      <c r="IW6" s="8" t="str">
        <f>IF(IW$5="","",VLOOKUP(WEEKDAY(DATE($A$2,$A$3+$A$1-1,IW5),2),Sheet3!$D$1:$E$7,2,0))</f>
        <v/>
      </c>
      <c r="IX6" s="8" t="str">
        <f>IF(IX$5="","",VLOOKUP(WEEKDAY(DATE($A$2,$A$3+$A$1-1,IX5),2),Sheet3!$D$1:$E$7,2,0))</f>
        <v/>
      </c>
      <c r="IY6" s="8" t="str">
        <f>IF(IY$5="","",VLOOKUP(WEEKDAY(DATE($A$2,$A$3+$A$1-1,IY5),2),Sheet3!$D$1:$E$7,2,0))</f>
        <v/>
      </c>
      <c r="IZ6" s="8" t="str">
        <f>IF(IZ$5="","",VLOOKUP(WEEKDAY(DATE($A$2,$A$3+$A$1-1,IZ5),2),Sheet3!$D$1:$E$7,2,0))</f>
        <v/>
      </c>
      <c r="JA6" s="8" t="str">
        <f>IF(JA$5="","",VLOOKUP(WEEKDAY(DATE($A$2,$A$3+$A$1-1,JA5),2),Sheet3!$D$1:$E$7,2,0))</f>
        <v/>
      </c>
      <c r="JB6" s="8" t="str">
        <f>IF(JB$5="","",VLOOKUP(WEEKDAY(DATE($A$2,$A$3+$A$1-1,JB5),2),Sheet3!$D$1:$E$7,2,0))</f>
        <v/>
      </c>
      <c r="JC6" s="8" t="str">
        <f>IF(JC$5="","",VLOOKUP(WEEKDAY(DATE($A$2,$A$3+$A$1-1,JC5),2),Sheet3!$D$1:$E$7,2,0))</f>
        <v/>
      </c>
      <c r="JD6" s="8" t="str">
        <f>IF(JD$5="","",VLOOKUP(WEEKDAY(DATE($A$2,$A$3+$A$1-1,JD5),2),Sheet3!$D$1:$E$7,2,0))</f>
        <v/>
      </c>
      <c r="JE6" s="8" t="str">
        <f>IF(JE$5="","",VLOOKUP(WEEKDAY(DATE($A$2,$A$3+$A$1-1,JE5),2),Sheet3!$D$1:$E$7,2,0))</f>
        <v/>
      </c>
      <c r="JF6" s="8" t="str">
        <f>IF(JF$5="","",VLOOKUP(WEEKDAY(DATE($A$2,$A$3+$A$1-1,JF5),2),Sheet3!$D$1:$E$7,2,0))</f>
        <v/>
      </c>
      <c r="JG6" s="8" t="str">
        <f>IF(JG$5="","",VLOOKUP(WEEKDAY(DATE($A$2,$A$3+$A$1-1,JG5),2),Sheet3!$D$1:$E$7,2,0))</f>
        <v/>
      </c>
      <c r="JH6" s="8" t="str">
        <f>IF(JH$5="","",VLOOKUP(WEEKDAY(DATE($A$2,$A$3+$A$1-1,JH5),2),Sheet3!$D$1:$E$7,2,0))</f>
        <v/>
      </c>
      <c r="JI6" s="8" t="str">
        <f>IF(JI$5="","",VLOOKUP(WEEKDAY(DATE($A$2,$A$3+$A$1-1,JI5),2),Sheet3!$D$1:$E$7,2,0))</f>
        <v/>
      </c>
      <c r="JJ6" s="8" t="str">
        <f>IF(JJ$5="","",VLOOKUP(WEEKDAY(DATE($A$2,$A$3+$A$1-1,JJ5),2),Sheet3!$D$1:$E$7,2,0))</f>
        <v/>
      </c>
      <c r="JK6" s="8" t="str">
        <f>IF(JK$5="","",VLOOKUP(WEEKDAY(DATE($A$2,$A$3+$A$1-1,JK5),2),Sheet3!$D$1:$E$7,2,0))</f>
        <v/>
      </c>
      <c r="JL6" s="8" t="str">
        <f>IF(JL$5="","",VLOOKUP(WEEKDAY(DATE($A$2,$A$3+$A$1-1,JL5),2),Sheet3!$D$1:$E$7,2,0))</f>
        <v/>
      </c>
      <c r="JM6" s="8" t="str">
        <f>IF(JM$5="","",VLOOKUP(WEEKDAY(DATE($A$2,$A$3+$A$1-1,JM5),2),Sheet3!$D$1:$E$7,2,0))</f>
        <v/>
      </c>
      <c r="JN6" s="8" t="str">
        <f>IF(JN$5="","",VLOOKUP(WEEKDAY(DATE($A$2,$A$3+$A$1-1,JN5),2),Sheet3!$D$1:$E$7,2,0))</f>
        <v/>
      </c>
      <c r="JO6" s="8" t="str">
        <f>IF(JO$5="","",VLOOKUP(WEEKDAY(DATE($A$2,$A$3+$A$1-1,JO5),2),Sheet3!$D$1:$E$7,2,0))</f>
        <v/>
      </c>
      <c r="JP6" s="8" t="str">
        <f>IF(JP$5="","",VLOOKUP(WEEKDAY(DATE($A$2,$A$3+$A$1-1,JP5),2),Sheet3!$D$1:$E$7,2,0))</f>
        <v/>
      </c>
      <c r="JQ6" s="8" t="str">
        <f>IF(JQ$5="","",VLOOKUP(WEEKDAY(DATE($A$2,$A$3+$A$1-1,JQ5),2),Sheet3!$D$1:$E$7,2,0))</f>
        <v/>
      </c>
      <c r="JR6" s="8" t="str">
        <f>IF(JR$5="","",VLOOKUP(WEEKDAY(DATE($A$2,$A$3+$A$1-1,JR5),2),Sheet3!$D$1:$E$7,2,0))</f>
        <v/>
      </c>
      <c r="JS6" s="8" t="str">
        <f>IF(JS$5="","",VLOOKUP(WEEKDAY(DATE($A$2,$A$3+$A$1-1,JS5),2),Sheet3!$D$1:$E$7,2,0))</f>
        <v/>
      </c>
      <c r="JT6" s="8" t="str">
        <f>IF(JT$5="","",VLOOKUP(WEEKDAY(DATE($A$2,$A$3+$A$1-1,JT5),2),Sheet3!$D$1:$E$7,2,0))</f>
        <v/>
      </c>
      <c r="JU6" s="8" t="str">
        <f>IF(JU$5="","",VLOOKUP(WEEKDAY(DATE($A$2,$A$3+$A$1-1,JU5),2),Sheet3!$D$1:$E$7,2,0))</f>
        <v/>
      </c>
      <c r="JV6" s="8" t="str">
        <f>IF(JV$5="","",VLOOKUP(WEEKDAY(DATE($A$2,$A$3+$A$1-1,JV5),2),Sheet3!$D$1:$E$7,2,0))</f>
        <v/>
      </c>
      <c r="JW6" s="8" t="str">
        <f>IF(JW$5="","",VLOOKUP(WEEKDAY(DATE($A$2,$A$3+$A$1-1,JW5),2),Sheet3!$D$1:$E$7,2,0))</f>
        <v/>
      </c>
      <c r="JX6" s="8" t="str">
        <f>IF(JX$5="","",VLOOKUP(WEEKDAY(DATE($A$2,$A$3+$A$1-1,JX5),2),Sheet3!$D$1:$E$7,2,0))</f>
        <v/>
      </c>
      <c r="JY6" s="8" t="str">
        <f>IF(JY$5="","",VLOOKUP(WEEKDAY(DATE($A$2,$A$3+$A$1-1,JY5),2),Sheet3!$D$1:$E$7,2,0))</f>
        <v/>
      </c>
      <c r="JZ6" s="8" t="str">
        <f>IF(JZ$5="","",VLOOKUP(WEEKDAY(DATE($A$2,$A$3+$A$1-1,JZ5),2),Sheet3!$D$1:$E$7,2,0))</f>
        <v/>
      </c>
      <c r="KA6" s="8" t="str">
        <f>IF(KA$5="","",VLOOKUP(WEEKDAY(DATE($A$2,$A$3+$A$1-1,KA5),2),Sheet3!$D$1:$E$7,2,0))</f>
        <v/>
      </c>
      <c r="KB6" s="8" t="str">
        <f>IF(KB$5="","",VLOOKUP(WEEKDAY(DATE($A$2,$A$3+$A$1-1,KB5),2),Sheet3!$D$1:$E$7,2,0))</f>
        <v/>
      </c>
      <c r="KC6" s="8" t="str">
        <f>IF(KC$5="","",VLOOKUP(WEEKDAY(DATE($A$2,$A$3+$A$1-1,KC5),2),Sheet3!$D$1:$E$7,2,0))</f>
        <v/>
      </c>
      <c r="KD6" s="8" t="str">
        <f>IF(KD$5="","",VLOOKUP(WEEKDAY(DATE($A$2,$A$3+$A$1-1,KD5),2),Sheet3!$D$1:$E$7,2,0))</f>
        <v/>
      </c>
      <c r="KE6" s="8" t="str">
        <f>IF(KE$5="","",VLOOKUP(WEEKDAY(DATE($A$2,$A$3+$A$1-1,KE5),2),Sheet3!$D$1:$E$7,2,0))</f>
        <v/>
      </c>
      <c r="KF6" s="8" t="str">
        <f>IF(KF$5="","",VLOOKUP(WEEKDAY(DATE($A$2,$A$3+$A$1-1,KF5),2),Sheet3!$D$1:$E$7,2,0))</f>
        <v/>
      </c>
      <c r="KG6" s="8" t="str">
        <f>IF(KG$5="","",VLOOKUP(WEEKDAY(DATE($A$2,$A$3+$A$1-1,KG5),2),Sheet3!$D$1:$E$7,2,0))</f>
        <v/>
      </c>
      <c r="KH6" s="8" t="str">
        <f>IF(KH$5="","",VLOOKUP(WEEKDAY(DATE($A$2,$A$3+$A$1-1,KH5),2),Sheet3!$D$1:$E$7,2,0))</f>
        <v/>
      </c>
      <c r="KI6" s="8" t="str">
        <f>IF(KI$5="","",VLOOKUP(WEEKDAY(DATE($A$2,$A$3+$A$1-1,KI5),2),Sheet3!$D$1:$E$7,2,0))</f>
        <v/>
      </c>
      <c r="KJ6" s="8" t="str">
        <f>IF(KJ$5="","",VLOOKUP(WEEKDAY(DATE($A$2,$A$3+$A$1-1,KJ5),2),Sheet3!$D$1:$E$7,2,0))</f>
        <v/>
      </c>
      <c r="KK6" s="8" t="str">
        <f>IF(KK$5="","",VLOOKUP(WEEKDAY(DATE($A$2,$A$3+$A$1-1,KK5),2),Sheet3!$D$1:$E$7,2,0))</f>
        <v/>
      </c>
      <c r="KL6" s="8" t="str">
        <f>IF(KL$5="","",VLOOKUP(WEEKDAY(DATE($A$2,$A$3+$A$1-1,KL5),2),Sheet3!$D$1:$E$7,2,0))</f>
        <v/>
      </c>
      <c r="KM6" s="8" t="str">
        <f>IF(KM$5="","",VLOOKUP(WEEKDAY(DATE($A$2,$A$3+$A$1-1,KM5),2),Sheet3!$D$1:$E$7,2,0))</f>
        <v/>
      </c>
      <c r="KN6" s="8" t="str">
        <f>IF(KN$5="","",VLOOKUP(WEEKDAY(DATE($A$2,$A$3+$A$1-1,KN5),2),Sheet3!$D$1:$E$7,2,0))</f>
        <v/>
      </c>
      <c r="KO6" s="8" t="str">
        <f>IF(KO$5="","",VLOOKUP(WEEKDAY(DATE($A$2,$A$3+$A$1-1,KO5),2),Sheet3!$D$1:$E$7,2,0))</f>
        <v/>
      </c>
      <c r="KP6" s="8" t="str">
        <f>IF(KP$5="","",VLOOKUP(WEEKDAY(DATE($A$2,$A$3+$A$1-1,KP5),2),Sheet3!$D$1:$E$7,2,0))</f>
        <v/>
      </c>
      <c r="KQ6" s="8" t="str">
        <f>IF(KQ$5="","",VLOOKUP(WEEKDAY(DATE($A$2,$A$3+$A$1-1,KQ5),2),Sheet3!$D$1:$E$7,2,0))</f>
        <v/>
      </c>
      <c r="KR6" s="8" t="str">
        <f>IF(KR$5="","",VLOOKUP(WEEKDAY(DATE($A$2,$A$3+$A$1-1,KR5),2),Sheet3!$D$1:$E$7,2,0))</f>
        <v/>
      </c>
      <c r="KS6" s="8" t="str">
        <f>IF(KS$5="","",VLOOKUP(WEEKDAY(DATE($A$2,$A$3+$A$1-1,KS5),2),Sheet3!$D$1:$E$7,2,0))</f>
        <v/>
      </c>
      <c r="KT6" s="8" t="str">
        <f>IF(KT$5="","",VLOOKUP(WEEKDAY(DATE($A$2,$A$3+$A$1-1,KT5),2),Sheet3!$D$1:$E$7,2,0))</f>
        <v/>
      </c>
      <c r="KU6" s="8" t="str">
        <f>IF(KU$5="","",VLOOKUP(WEEKDAY(DATE($A$2,$A$3+$A$1-1,KU5),2),Sheet3!$D$1:$E$7,2,0))</f>
        <v/>
      </c>
      <c r="KV6" s="8" t="str">
        <f>IF(KV$5="","",VLOOKUP(WEEKDAY(DATE($A$2,$A$3+$A$1-1,KV5),2),Sheet3!$D$1:$E$7,2,0))</f>
        <v/>
      </c>
      <c r="KW6" s="8" t="str">
        <f>IF(KW$5="","",VLOOKUP(WEEKDAY(DATE($A$2,$A$3+$A$1-1,KW5),2),Sheet3!$D$1:$E$7,2,0))</f>
        <v/>
      </c>
      <c r="KX6" s="8" t="str">
        <f>IF(KX$5="","",VLOOKUP(WEEKDAY(DATE($A$2,$A$3+$A$1-1,KX5),2),Sheet3!$D$1:$E$7,2,0))</f>
        <v/>
      </c>
      <c r="KY6" s="8" t="str">
        <f>IF(KY$5="","",VLOOKUP(WEEKDAY(DATE($A$2,$A$3+$A$1-1,KY5),2),Sheet3!$D$1:$E$7,2,0))</f>
        <v/>
      </c>
      <c r="KZ6" s="8" t="str">
        <f>IF(KZ$5="","",VLOOKUP(WEEKDAY(DATE($A$2,$A$3+$A$1-1,KZ5),2),Sheet3!$D$1:$E$7,2,0))</f>
        <v/>
      </c>
      <c r="LA6" s="8" t="str">
        <f>IF(LA$5="","",VLOOKUP(WEEKDAY(DATE($A$2,$A$3+$A$1-1,LA5),2),Sheet3!$D$1:$E$7,2,0))</f>
        <v/>
      </c>
      <c r="LB6" s="8" t="str">
        <f>IF(LB$5="","",VLOOKUP(WEEKDAY(DATE($A$2,$A$3+$A$1-1,LB5),2),Sheet3!$D$1:$E$7,2,0))</f>
        <v/>
      </c>
      <c r="LC6" s="8" t="str">
        <f>IF(LC$5="","",VLOOKUP(WEEKDAY(DATE($A$2,$A$3+$A$1-1,LC5),2),Sheet3!$D$1:$E$7,2,0))</f>
        <v/>
      </c>
      <c r="LD6" s="8" t="str">
        <f>IF(LD$5="","",VLOOKUP(WEEKDAY(DATE($A$2,$A$3+$A$1-1,LD5),2),Sheet3!$D$1:$E$7,2,0))</f>
        <v/>
      </c>
      <c r="LE6" s="8" t="str">
        <f>IF(LE$5="","",VLOOKUP(WEEKDAY(DATE($A$2,$A$3+$A$1-1,LE5),2),Sheet3!$D$1:$E$7,2,0))</f>
        <v/>
      </c>
      <c r="LF6" s="8" t="str">
        <f>IF(LF$5="","",VLOOKUP(WEEKDAY(DATE($A$2,$A$3+$A$1-1,LF5),2),Sheet3!$D$1:$E$7,2,0))</f>
        <v/>
      </c>
      <c r="LG6" s="8" t="str">
        <f>IF(LG$5="","",VLOOKUP(WEEKDAY(DATE($A$2,$A$3+$A$1-1,LG5),2),Sheet3!$D$1:$E$7,2,0))</f>
        <v/>
      </c>
      <c r="LH6" s="8" t="str">
        <f>IF(LH$5="","",VLOOKUP(WEEKDAY(DATE($A$2,$A$3+$A$1-1,LH5),2),Sheet3!$D$1:$E$7,2,0))</f>
        <v/>
      </c>
      <c r="LI6" s="8" t="str">
        <f>IF(LI$5="","",VLOOKUP(WEEKDAY(DATE($A$2,$A$3+$A$1-1,LI5),2),Sheet3!$D$1:$E$7,2,0))</f>
        <v/>
      </c>
      <c r="LJ6" s="8" t="str">
        <f>IF(LJ$5="","",VLOOKUP(WEEKDAY(DATE($A$2,$A$3+$A$1-1,LJ5),2),Sheet3!$D$1:$E$7,2,0))</f>
        <v/>
      </c>
      <c r="LK6" s="8" t="str">
        <f>IF(LK$5="","",VLOOKUP(WEEKDAY(DATE($A$2,$A$3+$A$1-1,LK5),2),Sheet3!$D$1:$E$7,2,0))</f>
        <v/>
      </c>
      <c r="LL6" s="8" t="str">
        <f>IF(LL$5="","",VLOOKUP(WEEKDAY(DATE($A$2,$A$3+$A$1-1,LL5),2),Sheet3!$D$1:$E$7,2,0))</f>
        <v/>
      </c>
      <c r="LM6" s="8" t="str">
        <f>IF(LM$5="","",VLOOKUP(WEEKDAY(DATE($A$2,$A$3+$A$1-1,LM5),2),Sheet3!$D$1:$E$7,2,0))</f>
        <v/>
      </c>
      <c r="LN6" s="8" t="str">
        <f>IF(LN$5="","",VLOOKUP(WEEKDAY(DATE($A$2,$A$3+$A$1-1,LN5),2),Sheet3!$D$1:$E$7,2,0))</f>
        <v/>
      </c>
      <c r="LO6" s="8" t="str">
        <f>IF(LO$5="","",VLOOKUP(WEEKDAY(DATE($A$2,$A$3+$A$1-1,LO5),2),Sheet3!$D$1:$E$7,2,0))</f>
        <v/>
      </c>
      <c r="LP6" s="8" t="str">
        <f>IF(LP$5="","",VLOOKUP(WEEKDAY(DATE($A$2,$A$3+$A$1-1,LP5),2),Sheet3!$D$1:$E$7,2,0))</f>
        <v/>
      </c>
      <c r="LQ6" s="8" t="str">
        <f>IF(LQ$5="","",VLOOKUP(WEEKDAY(DATE($A$2,$A$3+$A$1-1,LQ5),2),Sheet3!$D$1:$E$7,2,0))</f>
        <v/>
      </c>
      <c r="LR6" s="8" t="str">
        <f>IF(LR$5="","",VLOOKUP(WEEKDAY(DATE($A$2,$A$3+$A$1-1,LR5),2),Sheet3!$D$1:$E$7,2,0))</f>
        <v/>
      </c>
      <c r="LS6" s="8" t="str">
        <f>IF(LS$5="","",VLOOKUP(WEEKDAY(DATE($A$2,$A$3+$A$1-1,LS5),2),Sheet3!$D$1:$E$7,2,0))</f>
        <v/>
      </c>
      <c r="LT6" s="8" t="str">
        <f>IF(LT$5="","",VLOOKUP(WEEKDAY(DATE($A$2,$A$3+$A$1-1,LT5),2),Sheet3!$D$1:$E$7,2,0))</f>
        <v/>
      </c>
      <c r="LU6" s="8" t="str">
        <f>IF(LU$5="","",VLOOKUP(WEEKDAY(DATE($A$2,$A$3+$A$1-1,LU5),2),Sheet3!$D$1:$E$7,2,0))</f>
        <v/>
      </c>
      <c r="LV6" s="8" t="str">
        <f>IF(LV$5="","",VLOOKUP(WEEKDAY(DATE($A$2,$A$3+$A$1-1,LV5),2),Sheet3!$D$1:$E$7,2,0))</f>
        <v/>
      </c>
      <c r="LW6" s="8" t="str">
        <f>IF(LW$5="","",VLOOKUP(WEEKDAY(DATE($A$2,$A$3+$A$1-1,LW5),2),Sheet3!$D$1:$E$7,2,0))</f>
        <v/>
      </c>
      <c r="LX6" s="8" t="str">
        <f>IF(LX$5="","",VLOOKUP(WEEKDAY(DATE($A$2,$A$3+$A$1-1,LX5),2),Sheet3!$D$1:$E$7,2,0))</f>
        <v/>
      </c>
      <c r="LY6" s="8" t="str">
        <f>IF(LY$5="","",VLOOKUP(WEEKDAY(DATE($A$2,$A$3+$A$1-1,LY5),2),Sheet3!$D$1:$E$7,2,0))</f>
        <v/>
      </c>
      <c r="LZ6" s="8" t="str">
        <f>IF(LZ$5="","",VLOOKUP(WEEKDAY(DATE($A$2,$A$3+$A$1-1,LZ5),2),Sheet3!$D$1:$E$7,2,0))</f>
        <v/>
      </c>
      <c r="MA6" s="8" t="str">
        <f>IF(MA$5="","",VLOOKUP(WEEKDAY(DATE($A$2,$A$3+$A$1-1,MA5),2),Sheet3!$D$1:$E$7,2,0))</f>
        <v/>
      </c>
      <c r="MB6" s="8" t="str">
        <f>IF(MB$5="","",VLOOKUP(WEEKDAY(DATE($A$2,$A$3+$A$1-1,MB5),2),Sheet3!$D$1:$E$7,2,0))</f>
        <v/>
      </c>
      <c r="MC6" s="8" t="str">
        <f>IF(MC$5="","",VLOOKUP(WEEKDAY(DATE($A$2,$A$3+$A$1-1,MC5),2),Sheet3!$D$1:$E$7,2,0))</f>
        <v/>
      </c>
      <c r="MD6" s="8" t="str">
        <f>IF(MD$5="","",VLOOKUP(WEEKDAY(DATE($A$2,$A$3+$A$1-1,MD5),2),Sheet3!$D$1:$E$7,2,0))</f>
        <v/>
      </c>
      <c r="ME6" s="8" t="str">
        <f>IF(ME$5="","",VLOOKUP(WEEKDAY(DATE($A$2,$A$3+$A$1-1,ME5),2),Sheet3!$D$1:$E$7,2,0))</f>
        <v>Mon</v>
      </c>
      <c r="MF6" s="8" t="str">
        <f>IF(MF$5="","",VLOOKUP(WEEKDAY(DATE($A$2,$A$3+$A$1-1,MF5),2),Sheet3!$D$1:$E$7,2,0))</f>
        <v>Tue</v>
      </c>
      <c r="MG6" s="8" t="str">
        <f>IF(MG$5="","",VLOOKUP(WEEKDAY(DATE($A$2,$A$3+$A$1-1,MG5),2),Sheet3!$D$1:$E$7,2,0))</f>
        <v>Wed</v>
      </c>
      <c r="MH6" s="8" t="str">
        <f>IF(MH$5="","",VLOOKUP(WEEKDAY(DATE($A$2,$A$3+$A$1-1,MH5),2),Sheet3!$D$1:$E$7,2,0))</f>
        <v>Thu</v>
      </c>
      <c r="MI6" s="8" t="str">
        <f>IF(MI$5="","",VLOOKUP(WEEKDAY(DATE($A$2,$A$3+$A$1-1,MI5),2),Sheet3!$D$1:$E$7,2,0))</f>
        <v>Fri</v>
      </c>
      <c r="MJ6" s="8" t="str">
        <f>IF(MJ$5="","",VLOOKUP(WEEKDAY(DATE($A$2,$A$3+$A$1-1,MJ5),2),Sheet3!$D$1:$E$7,2,0))</f>
        <v>Sat</v>
      </c>
      <c r="MK6" s="8" t="str">
        <f>IF(MK$5="","",VLOOKUP(WEEKDAY(DATE($A$2,$A$3+$A$1-1,MK5),2),Sheet3!$D$1:$E$7,2,0))</f>
        <v>Sun</v>
      </c>
      <c r="ML6" s="8" t="str">
        <f>IF(ML$5="","",VLOOKUP(WEEKDAY(DATE($A$2,$A$3+$A$1-1,ML5),2),Sheet3!$D$1:$E$7,2,0))</f>
        <v>Mon</v>
      </c>
      <c r="MM6" s="8" t="str">
        <f>IF(MM$5="","",VLOOKUP(WEEKDAY(DATE($A$2,$A$3+$A$1-1,MM5),2),Sheet3!$D$1:$E$7,2,0))</f>
        <v>Tue</v>
      </c>
      <c r="MN6" s="8" t="str">
        <f>IF(MN$5="","",VLOOKUP(WEEKDAY(DATE($A$2,$A$3+$A$1-1,MN5),2),Sheet3!$D$1:$E$7,2,0))</f>
        <v>Wed</v>
      </c>
      <c r="MO6" s="8" t="str">
        <f>IF(MO$5="","",VLOOKUP(WEEKDAY(DATE($A$2,$A$3+$A$1-1,MO5),2),Sheet3!$D$1:$E$7,2,0))</f>
        <v>Thu</v>
      </c>
      <c r="MP6" s="8" t="str">
        <f>IF(MP$5="","",VLOOKUP(WEEKDAY(DATE($A$2,$A$3+$A$1-1,MP5),2),Sheet3!$D$1:$E$7,2,0))</f>
        <v>Fri</v>
      </c>
      <c r="MQ6" s="8" t="str">
        <f>IF(MQ$5="","",VLOOKUP(WEEKDAY(DATE($A$2,$A$3+$A$1-1,MQ5),2),Sheet3!$D$1:$E$7,2,0))</f>
        <v>Sat</v>
      </c>
      <c r="MR6" s="8" t="str">
        <f>IF(MR$5="","",VLOOKUP(WEEKDAY(DATE($A$2,$A$3+$A$1-1,MR5),2),Sheet3!$D$1:$E$7,2,0))</f>
        <v>Sun</v>
      </c>
      <c r="MS6" s="8" t="str">
        <f>IF(MS$5="","",VLOOKUP(WEEKDAY(DATE($A$2,$A$3+$A$1-1,MS5),2),Sheet3!$D$1:$E$7,2,0))</f>
        <v>Mon</v>
      </c>
      <c r="MT6" s="8" t="str">
        <f>IF(MT$5="","",VLOOKUP(WEEKDAY(DATE($A$2,$A$3+$A$1-1,MT5),2),Sheet3!$D$1:$E$7,2,0))</f>
        <v>Tue</v>
      </c>
      <c r="MU6" s="8" t="str">
        <f>IF(MU$5="","",VLOOKUP(WEEKDAY(DATE($A$2,$A$3+$A$1-1,MU5),2),Sheet3!$D$1:$E$7,2,0))</f>
        <v>Wed</v>
      </c>
      <c r="MV6" s="8" t="str">
        <f>IF(MV$5="","",VLOOKUP(WEEKDAY(DATE($A$2,$A$3+$A$1-1,MV5),2),Sheet3!$D$1:$E$7,2,0))</f>
        <v>Thu</v>
      </c>
      <c r="MW6" s="8" t="str">
        <f>IF(MW$5="","",VLOOKUP(WEEKDAY(DATE($A$2,$A$3+$A$1-1,MW5),2),Sheet3!$D$1:$E$7,2,0))</f>
        <v>Fri</v>
      </c>
      <c r="MX6" s="8" t="str">
        <f>IF(MX$5="","",VLOOKUP(WEEKDAY(DATE($A$2,$A$3+$A$1-1,MX5),2),Sheet3!$D$1:$E$7,2,0))</f>
        <v>Sat</v>
      </c>
      <c r="MY6" s="8" t="str">
        <f>IF(MY$5="","",VLOOKUP(WEEKDAY(DATE($A$2,$A$3+$A$1-1,MY5),2),Sheet3!$D$1:$E$7,2,0))</f>
        <v>Sun</v>
      </c>
      <c r="MZ6" s="8" t="str">
        <f>IF(MZ$5="","",VLOOKUP(WEEKDAY(DATE($A$2,$A$3+$A$1-1,MZ5),2),Sheet3!$D$1:$E$7,2,0))</f>
        <v>Mon</v>
      </c>
      <c r="NA6" s="8" t="str">
        <f>IF(NA$5="","",VLOOKUP(WEEKDAY(DATE($A$2,$A$3+$A$1-1,NA5),2),Sheet3!$D$1:$E$7,2,0))</f>
        <v>Tue</v>
      </c>
      <c r="NB6" s="8" t="str">
        <f>IF(NB$5="","",VLOOKUP(WEEKDAY(DATE($A$2,$A$3+$A$1-1,NB5),2),Sheet3!$D$1:$E$7,2,0))</f>
        <v>Wed</v>
      </c>
      <c r="NC6" s="8" t="str">
        <f>IF(NC$5="","",VLOOKUP(WEEKDAY(DATE($A$2,$A$3+$A$1-1,NC5),2),Sheet3!$D$1:$E$7,2,0))</f>
        <v>Thu</v>
      </c>
      <c r="ND6" s="8" t="str">
        <f>IF(ND$5="","",VLOOKUP(WEEKDAY(DATE($A$2,$A$3+$A$1-1,ND5),2),Sheet3!$D$1:$E$7,2,0))</f>
        <v>Fri</v>
      </c>
      <c r="NE6" s="8" t="str">
        <f>IF(NE$5="","",VLOOKUP(WEEKDAY(DATE($A$2,$A$3+$A$1-1,NE5),2),Sheet3!$D$1:$E$7,2,0))</f>
        <v>Sat</v>
      </c>
      <c r="NF6" s="8" t="str">
        <f>IF(NF$5="","",VLOOKUP(WEEKDAY(DATE($A$2,$A$3+$A$1-1,NF5),2),Sheet3!$D$1:$E$7,2,0))</f>
        <v>Sun</v>
      </c>
      <c r="NG6" s="8" t="str">
        <f>IF(NG$5="","",VLOOKUP(WEEKDAY(DATE($A$2,$A$3+$A$1-1,NG5),2),Sheet3!$D$1:$E$7,2,0))</f>
        <v>Mon</v>
      </c>
      <c r="NH6" s="8" t="str">
        <f>IF(NH$5="","",VLOOKUP(WEEKDAY(DATE($A$2,$A$3+$A$1-1,NH5),2),Sheet3!$D$1:$E$7,2,0))</f>
        <v>Tue</v>
      </c>
      <c r="NI6" s="8" t="str">
        <f>IF(NI$5="","",VLOOKUP(WEEKDAY(DATE($A$2,$A$3+$A$1-1,NI5),2),Sheet3!$D$1:$E$7,2,0))</f>
        <v>Wed</v>
      </c>
      <c r="NJ6" s="8" t="str">
        <f>IF(NJ$5="","",VLOOKUP(WEEKDAY(DATE($A$2,$A$3+$A$1-1,NJ5),2),Sheet3!$D$1:$E$7,2,0))</f>
        <v/>
      </c>
      <c r="NK6" s="37"/>
      <c r="NL6" s="35"/>
      <c r="NM6" s="35"/>
      <c r="NN6" s="35"/>
      <c r="NO6" s="35"/>
      <c r="NP6" s="34"/>
      <c r="NQ6" s="34"/>
      <c r="NR6" s="34"/>
      <c r="NS6" s="34"/>
      <c r="NT6" s="34"/>
      <c r="NU6" s="34"/>
      <c r="NW6" s="26" t="s">
        <v>29</v>
      </c>
      <c r="NX6" s="26" t="s">
        <v>38</v>
      </c>
    </row>
    <row r="7" spans="1:761" x14ac:dyDescent="0.25">
      <c r="A7" s="3" t="s">
        <v>18</v>
      </c>
      <c r="B7" s="20" t="str">
        <f>IF(B$5="","",WEEKNUM(DATE($A$2,VLOOKUP($A$1,Sheet3!$A$1:$B$12,2,0),COLUMNS($A$6:A6)),2))</f>
        <v/>
      </c>
      <c r="C7" s="20" t="str">
        <f>IF(C$5="","",WEEKNUM(DATE($A$2,VLOOKUP($A$1,Sheet3!$A$1:$B$12,2,0),COLUMNS($A$6:B6)),2))</f>
        <v/>
      </c>
      <c r="D7" s="20" t="str">
        <f>IF(D$5="","",WEEKNUM(DATE($A$2,VLOOKUP($A$1,Sheet3!$A$1:$B$12,2,0),COLUMNS($A$6:C6)),2))</f>
        <v/>
      </c>
      <c r="E7" s="20" t="str">
        <f>IF(E$5="","",WEEKNUM(DATE($A$2,VLOOKUP($A$1,Sheet3!$A$1:$B$12,2,0),COLUMNS($A$6:D6)),2))</f>
        <v/>
      </c>
      <c r="F7" s="20" t="str">
        <f>IF(F$5="","",WEEKNUM(DATE($A$2,VLOOKUP($A$1,Sheet3!$A$1:$B$12,2,0),COLUMNS($A$6:E6)),2))</f>
        <v/>
      </c>
      <c r="G7" s="20" t="str">
        <f>IF(G$5="","",WEEKNUM(DATE($A$2,VLOOKUP($A$1,Sheet3!$A$1:$B$12,2,0),COLUMNS($A$6:F6)),2))</f>
        <v/>
      </c>
      <c r="H7" s="20" t="str">
        <f>IF(H$5="","",WEEKNUM(DATE($A$2,VLOOKUP($A$1,Sheet3!$A$1:$B$12,2,0),COLUMNS($A$6:G6)),2))</f>
        <v/>
      </c>
      <c r="I7" s="20" t="str">
        <f>IF(I$5="","",WEEKNUM(DATE($A$2,VLOOKUP($A$1,Sheet3!$A$1:$B$12,2,0),COLUMNS($A$6:H6)),2))</f>
        <v/>
      </c>
      <c r="J7" s="20" t="str">
        <f>IF(J$5="","",WEEKNUM(DATE($A$2,VLOOKUP($A$1,Sheet3!$A$1:$B$12,2,0),COLUMNS($A$6:I6)),2))</f>
        <v/>
      </c>
      <c r="K7" s="20" t="str">
        <f>IF(K$5="","",WEEKNUM(DATE($A$2,VLOOKUP($A$1,Sheet3!$A$1:$B$12,2,0),COLUMNS($A$6:J6)),2))</f>
        <v/>
      </c>
      <c r="L7" s="20" t="str">
        <f>IF(L$5="","",WEEKNUM(DATE($A$2,VLOOKUP($A$1,Sheet3!$A$1:$B$12,2,0),COLUMNS($A$6:K6)),2))</f>
        <v/>
      </c>
      <c r="M7" s="20" t="str">
        <f>IF(M$5="","",WEEKNUM(DATE($A$2,VLOOKUP($A$1,Sheet3!$A$1:$B$12,2,0),COLUMNS($A$6:L6)),2))</f>
        <v/>
      </c>
      <c r="N7" s="20" t="str">
        <f>IF(N$5="","",WEEKNUM(DATE($A$2,VLOOKUP($A$1,Sheet3!$A$1:$B$12,2,0),COLUMNS($A$6:M6)),2))</f>
        <v/>
      </c>
      <c r="O7" s="20" t="str">
        <f>IF(O$5="","",WEEKNUM(DATE($A$2,VLOOKUP($A$1,Sheet3!$A$1:$B$12,2,0),COLUMNS($A$6:N6)),2))</f>
        <v/>
      </c>
      <c r="P7" s="20" t="str">
        <f>IF(P$5="","",WEEKNUM(DATE($A$2,VLOOKUP($A$1,Sheet3!$A$1:$B$12,2,0),COLUMNS($A$6:O6)),2))</f>
        <v/>
      </c>
      <c r="Q7" s="20" t="str">
        <f>IF(Q$5="","",WEEKNUM(DATE($A$2,VLOOKUP($A$1,Sheet3!$A$1:$B$12,2,0),COLUMNS($A$6:P6)),2))</f>
        <v/>
      </c>
      <c r="R7" s="20" t="str">
        <f>IF(R$5="","",WEEKNUM(DATE($A$2,VLOOKUP($A$1,Sheet3!$A$1:$B$12,2,0),COLUMNS($A$6:Q6)),2))</f>
        <v/>
      </c>
      <c r="S7" s="20" t="str">
        <f>IF(S$5="","",WEEKNUM(DATE($A$2,VLOOKUP($A$1,Sheet3!$A$1:$B$12,2,0),COLUMNS($A$6:R6)),2))</f>
        <v/>
      </c>
      <c r="T7" s="20" t="str">
        <f>IF(T$5="","",WEEKNUM(DATE($A$2,VLOOKUP($A$1,Sheet3!$A$1:$B$12,2,0),COLUMNS($A$6:S6)),2))</f>
        <v/>
      </c>
      <c r="U7" s="20" t="str">
        <f>IF(U$5="","",WEEKNUM(DATE($A$2,VLOOKUP($A$1,Sheet3!$A$1:$B$12,2,0),COLUMNS($A$6:T6)),2))</f>
        <v/>
      </c>
      <c r="V7" s="20" t="str">
        <f>IF(V$5="","",WEEKNUM(DATE($A$2,VLOOKUP($A$1,Sheet3!$A$1:$B$12,2,0),COLUMNS($A$6:U6)),2))</f>
        <v/>
      </c>
      <c r="W7" s="20" t="str">
        <f>IF(W$5="","",WEEKNUM(DATE($A$2,VLOOKUP($A$1,Sheet3!$A$1:$B$12,2,0),COLUMNS($A$6:V6)),2))</f>
        <v/>
      </c>
      <c r="X7" s="20" t="str">
        <f>IF(X$5="","",WEEKNUM(DATE($A$2,VLOOKUP($A$1,Sheet3!$A$1:$B$12,2,0),COLUMNS($A$6:W6)),2))</f>
        <v/>
      </c>
      <c r="Y7" s="20" t="str">
        <f>IF(Y$5="","",WEEKNUM(DATE($A$2,VLOOKUP($A$1,Sheet3!$A$1:$B$12,2,0),COLUMNS($A$6:X6)),2))</f>
        <v/>
      </c>
      <c r="Z7" s="20" t="str">
        <f>IF(Z$5="","",WEEKNUM(DATE($A$2,VLOOKUP($A$1,Sheet3!$A$1:$B$12,2,0),COLUMNS($A$6:Y6)),2))</f>
        <v/>
      </c>
      <c r="AA7" s="20" t="str">
        <f>IF(AA$5="","",WEEKNUM(DATE($A$2,VLOOKUP($A$1,Sheet3!$A$1:$B$12,2,0),COLUMNS($A$6:Z6)),2))</f>
        <v/>
      </c>
      <c r="AB7" s="20" t="str">
        <f>IF(AB$5="","",WEEKNUM(DATE($A$2,VLOOKUP($A$1,Sheet3!$A$1:$B$12,2,0),COLUMNS($A$6:AA6)),2))</f>
        <v/>
      </c>
      <c r="AC7" s="20" t="str">
        <f>IF(AC$5="","",WEEKNUM(DATE($A$2,VLOOKUP($A$1,Sheet3!$A$1:$B$12,2,0),COLUMNS($A$6:AB6)),2))</f>
        <v/>
      </c>
      <c r="AD7" s="20" t="str">
        <f>IF(AD$5="","",WEEKNUM(DATE($A$2,VLOOKUP($A$1,Sheet3!$A$1:$B$12,2,0),COLUMNS($A$6:AC6)),2))</f>
        <v/>
      </c>
      <c r="AE7" s="20" t="str">
        <f>IF(AE$5="","",WEEKNUM(DATE($A$2,VLOOKUP($A$1,Sheet3!$A$1:$B$12,2,0),COLUMNS($A$6:AD6)),2))</f>
        <v/>
      </c>
      <c r="AF7" s="20" t="str">
        <f>IF(AF$5="","",WEEKNUM(DATE($A$2,VLOOKUP($A$1,Sheet3!$A$1:$B$12,2,0),COLUMNS($A$6:AE6)),2))</f>
        <v/>
      </c>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c r="EG7" s="1"/>
      <c r="EH7" s="1"/>
      <c r="EI7" s="1"/>
      <c r="EJ7" s="1"/>
      <c r="EK7" s="1"/>
      <c r="EL7" s="1"/>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c r="GF7" s="1"/>
      <c r="GG7" s="1"/>
      <c r="GH7" s="1"/>
      <c r="GI7" s="1"/>
      <c r="GJ7" s="1"/>
      <c r="GK7" s="1"/>
      <c r="GL7" s="1"/>
      <c r="GM7" s="1"/>
      <c r="GN7" s="1"/>
      <c r="GO7" s="1"/>
      <c r="GP7" s="1"/>
      <c r="GQ7" s="1"/>
      <c r="GR7" s="1"/>
      <c r="GS7" s="1"/>
      <c r="GT7" s="1"/>
      <c r="GU7" s="1"/>
      <c r="GV7" s="1"/>
      <c r="GW7" s="1"/>
      <c r="GX7" s="1"/>
      <c r="GY7" s="1"/>
      <c r="GZ7" s="1"/>
      <c r="HA7" s="1"/>
      <c r="HB7" s="1"/>
      <c r="HC7" s="1"/>
      <c r="HD7" s="1"/>
      <c r="HE7" s="1"/>
      <c r="HF7" s="1"/>
      <c r="HG7" s="1"/>
      <c r="HH7" s="1"/>
      <c r="HI7" s="1"/>
      <c r="HJ7" s="1"/>
      <c r="HK7" s="1"/>
      <c r="HL7" s="1"/>
      <c r="HM7" s="1"/>
      <c r="HN7" s="1"/>
      <c r="HO7" s="1"/>
      <c r="HP7" s="1"/>
      <c r="HQ7" s="1"/>
      <c r="HR7" s="1"/>
      <c r="HS7" s="1"/>
      <c r="HT7" s="1"/>
      <c r="HU7" s="1"/>
      <c r="HV7" s="1"/>
      <c r="HW7" s="1"/>
      <c r="HX7" s="1"/>
      <c r="HY7" s="1"/>
      <c r="HZ7" s="1"/>
      <c r="IA7" s="1"/>
      <c r="IB7" s="1"/>
      <c r="IC7" s="1"/>
      <c r="ID7" s="1"/>
      <c r="IE7" s="1"/>
      <c r="IF7" s="1"/>
      <c r="IG7" s="1"/>
      <c r="IH7" s="1"/>
      <c r="II7" s="1"/>
      <c r="IJ7" s="1"/>
      <c r="IK7" s="1"/>
      <c r="IL7" s="1"/>
      <c r="IM7" s="1"/>
      <c r="IN7" s="1"/>
      <c r="IO7" s="1"/>
      <c r="IP7" s="1"/>
      <c r="IQ7" s="1"/>
      <c r="IR7" s="1"/>
      <c r="IS7" s="1"/>
      <c r="IT7" s="1"/>
      <c r="IU7" s="1"/>
      <c r="IV7" s="1"/>
      <c r="IW7" s="1"/>
      <c r="IX7" s="1"/>
      <c r="IY7" s="1"/>
      <c r="IZ7" s="1"/>
      <c r="JA7" s="1"/>
      <c r="JB7" s="1"/>
      <c r="JC7" s="1"/>
      <c r="JD7" s="1"/>
      <c r="JE7" s="1"/>
      <c r="JF7" s="1"/>
      <c r="JG7" s="1"/>
      <c r="JH7" s="1"/>
      <c r="JI7" s="1"/>
      <c r="JJ7" s="1"/>
      <c r="JK7" s="1"/>
      <c r="JL7" s="1"/>
      <c r="JM7" s="1"/>
      <c r="JN7" s="1"/>
      <c r="JO7" s="1"/>
      <c r="JP7" s="1"/>
      <c r="JQ7" s="1"/>
      <c r="JR7" s="1"/>
      <c r="JS7" s="1"/>
      <c r="JT7" s="1"/>
      <c r="JU7" s="1"/>
      <c r="JV7" s="1"/>
      <c r="JW7" s="1"/>
      <c r="JX7" s="1"/>
      <c r="JY7" s="1"/>
      <c r="JZ7" s="1"/>
      <c r="KA7" s="1"/>
      <c r="KB7" s="1"/>
      <c r="KC7" s="1"/>
      <c r="KD7" s="1"/>
      <c r="KE7" s="1"/>
      <c r="KF7" s="1"/>
      <c r="KG7" s="1"/>
      <c r="KH7" s="1"/>
      <c r="KI7" s="1"/>
      <c r="KJ7" s="1"/>
      <c r="KK7" s="1"/>
      <c r="KL7" s="1"/>
      <c r="KM7" s="1"/>
      <c r="KN7" s="1"/>
      <c r="KO7" s="1"/>
      <c r="KP7" s="1"/>
      <c r="KQ7" s="1"/>
      <c r="KR7" s="1"/>
      <c r="KS7" s="1"/>
      <c r="KT7" s="1"/>
      <c r="KU7" s="1"/>
      <c r="KV7" s="1"/>
      <c r="KW7" s="1"/>
      <c r="KX7" s="1"/>
      <c r="KY7" s="1"/>
      <c r="KZ7" s="1"/>
      <c r="LA7" s="1"/>
      <c r="LB7" s="1"/>
      <c r="LC7" s="1"/>
      <c r="LD7" s="1"/>
      <c r="LE7" s="1"/>
      <c r="LF7" s="1"/>
      <c r="LG7" s="1"/>
      <c r="LH7" s="1"/>
      <c r="LI7" s="1"/>
      <c r="LJ7" s="1"/>
      <c r="LK7" s="1"/>
      <c r="LL7" s="1"/>
      <c r="LM7" s="1"/>
      <c r="LN7" s="1"/>
      <c r="LO7" s="1"/>
      <c r="LP7" s="1"/>
      <c r="LQ7" s="1"/>
      <c r="LR7" s="1"/>
      <c r="LS7" s="1"/>
      <c r="LT7" s="1"/>
      <c r="LU7" s="1"/>
      <c r="LV7" s="1"/>
      <c r="LW7" s="1"/>
      <c r="LX7" s="1"/>
      <c r="LY7" s="1"/>
      <c r="LZ7" s="1"/>
      <c r="MA7" s="1"/>
      <c r="MB7" s="1"/>
      <c r="MC7" s="1"/>
      <c r="MD7" s="1"/>
      <c r="ME7" s="1"/>
      <c r="MF7" s="1"/>
      <c r="MG7" s="1"/>
      <c r="MH7" s="1"/>
      <c r="MI7" s="1"/>
      <c r="MJ7" s="1"/>
      <c r="MK7" s="1"/>
      <c r="ML7" s="1"/>
      <c r="MM7" s="1"/>
      <c r="MN7" s="1"/>
      <c r="MO7" s="1"/>
      <c r="MP7" s="1"/>
      <c r="MQ7" s="1"/>
      <c r="MR7" s="1"/>
      <c r="MS7" s="1"/>
      <c r="MT7" s="1"/>
      <c r="MU7" s="1"/>
      <c r="MV7" s="1"/>
      <c r="MW7" s="1"/>
      <c r="MX7" s="1"/>
      <c r="MY7" s="1"/>
      <c r="MZ7" s="1"/>
      <c r="NA7" s="1"/>
      <c r="NB7" s="1"/>
      <c r="NC7" s="1"/>
      <c r="ND7" s="1"/>
      <c r="NE7" s="1"/>
      <c r="NF7" s="1"/>
      <c r="NG7" s="1"/>
      <c r="NH7" s="1"/>
      <c r="NI7" s="1"/>
      <c r="NJ7" s="1"/>
      <c r="NK7" s="21"/>
      <c r="NL7" s="22"/>
      <c r="NM7" s="22"/>
      <c r="NN7" s="22"/>
      <c r="NO7" s="22"/>
      <c r="NP7" s="22"/>
      <c r="NQ7" s="22"/>
      <c r="NR7" s="22"/>
      <c r="NS7" s="22"/>
      <c r="NT7" s="22"/>
      <c r="NU7" s="22"/>
      <c r="NW7" s="1"/>
      <c r="NX7" s="1"/>
    </row>
    <row r="8" spans="1:761" x14ac:dyDescent="0.25">
      <c r="A8" s="1" t="s">
        <v>136</v>
      </c>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c r="EG8" s="1"/>
      <c r="EH8" s="1"/>
      <c r="EI8" s="1"/>
      <c r="EJ8" s="1"/>
      <c r="EK8" s="1"/>
      <c r="EL8" s="1"/>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c r="GF8" s="1"/>
      <c r="GG8" s="1"/>
      <c r="GH8" s="1"/>
      <c r="GI8" s="1"/>
      <c r="GJ8" s="1"/>
      <c r="GK8" s="1"/>
      <c r="GL8" s="1"/>
      <c r="GM8" s="1"/>
      <c r="GN8" s="1"/>
      <c r="GO8" s="1"/>
      <c r="GP8" s="1"/>
      <c r="GQ8" s="1"/>
      <c r="GR8" s="1"/>
      <c r="GS8" s="1"/>
      <c r="GT8" s="1"/>
      <c r="GU8" s="1"/>
      <c r="GV8" s="1"/>
      <c r="GW8" s="1"/>
      <c r="GX8" s="1"/>
      <c r="GY8" s="1"/>
      <c r="GZ8" s="1"/>
      <c r="HA8" s="1"/>
      <c r="HB8" s="1"/>
      <c r="HC8" s="1"/>
      <c r="HD8" s="1"/>
      <c r="HE8" s="1"/>
      <c r="HF8" s="1"/>
      <c r="HG8" s="1"/>
      <c r="HH8" s="1"/>
      <c r="HI8" s="1"/>
      <c r="HJ8" s="1"/>
      <c r="HK8" s="1"/>
      <c r="HL8" s="1"/>
      <c r="HM8" s="1"/>
      <c r="HN8" s="1"/>
      <c r="HO8" s="1"/>
      <c r="HP8" s="1"/>
      <c r="HQ8" s="1"/>
      <c r="HR8" s="1"/>
      <c r="HS8" s="1"/>
      <c r="HT8" s="1"/>
      <c r="HU8" s="1"/>
      <c r="HV8" s="1"/>
      <c r="HW8" s="1"/>
      <c r="HX8" s="1"/>
      <c r="HY8" s="1"/>
      <c r="HZ8" s="1"/>
      <c r="IA8" s="1"/>
      <c r="IB8" s="1"/>
      <c r="IC8" s="1"/>
      <c r="ID8" s="1"/>
      <c r="IE8" s="1"/>
      <c r="IF8" s="1"/>
      <c r="IG8" s="1"/>
      <c r="IH8" s="1"/>
      <c r="II8" s="1"/>
      <c r="IJ8" s="1"/>
      <c r="IK8" s="1"/>
      <c r="IL8" s="1"/>
      <c r="IM8" s="1"/>
      <c r="IN8" s="1"/>
      <c r="IO8" s="1"/>
      <c r="IP8" s="1"/>
      <c r="IQ8" s="1"/>
      <c r="IR8" s="1"/>
      <c r="IS8" s="1"/>
      <c r="IT8" s="1"/>
      <c r="IU8" s="1"/>
      <c r="IV8" s="1"/>
      <c r="IW8" s="1"/>
      <c r="IX8" s="1"/>
      <c r="IY8" s="1"/>
      <c r="IZ8" s="1"/>
      <c r="JA8" s="1"/>
      <c r="JB8" s="1"/>
      <c r="JC8" s="1"/>
      <c r="JD8" s="1"/>
      <c r="JE8" s="1"/>
      <c r="JF8" s="1"/>
      <c r="JG8" s="1"/>
      <c r="JH8" s="1"/>
      <c r="JI8" s="1"/>
      <c r="JJ8" s="1"/>
      <c r="JK8" s="1"/>
      <c r="JL8" s="1"/>
      <c r="JM8" s="1"/>
      <c r="JN8" s="1"/>
      <c r="JO8" s="1"/>
      <c r="JP8" s="1"/>
      <c r="JQ8" s="1"/>
      <c r="JR8" s="1"/>
      <c r="JS8" s="1"/>
      <c r="JT8" s="1"/>
      <c r="JU8" s="1"/>
      <c r="JV8" s="1"/>
      <c r="JW8" s="1"/>
      <c r="JX8" s="1"/>
      <c r="JY8" s="1"/>
      <c r="JZ8" s="1"/>
      <c r="KA8" s="1"/>
      <c r="KB8" s="1"/>
      <c r="KC8" s="1"/>
      <c r="KD8" s="1"/>
      <c r="KE8" s="1"/>
      <c r="KF8" s="1"/>
      <c r="KG8" s="1"/>
      <c r="KH8" s="1"/>
      <c r="KI8" s="1"/>
      <c r="KJ8" s="1"/>
      <c r="KK8" s="1"/>
      <c r="KL8" s="1"/>
      <c r="KM8" s="1"/>
      <c r="KN8" s="1"/>
      <c r="KO8" s="1"/>
      <c r="KP8" s="1"/>
      <c r="KQ8" s="1"/>
      <c r="KR8" s="1"/>
      <c r="KS8" s="1"/>
      <c r="KT8" s="1"/>
      <c r="KU8" s="1"/>
      <c r="KV8" s="1"/>
      <c r="KW8" s="1"/>
      <c r="KX8" s="1"/>
      <c r="KY8" s="1"/>
      <c r="KZ8" s="1"/>
      <c r="LA8" s="1"/>
      <c r="LB8" s="1"/>
      <c r="LC8" s="1"/>
      <c r="LD8" s="1"/>
      <c r="LE8" s="1"/>
      <c r="LF8" s="1"/>
      <c r="LG8" s="1"/>
      <c r="LH8" s="1"/>
      <c r="LI8" s="1"/>
      <c r="LJ8" s="1"/>
      <c r="LK8" s="1"/>
      <c r="LL8" s="1"/>
      <c r="LM8" s="1"/>
      <c r="LN8" s="1"/>
      <c r="LO8" s="1"/>
      <c r="LP8" s="1"/>
      <c r="LQ8" s="1"/>
      <c r="LR8" s="1"/>
      <c r="LS8" s="1"/>
      <c r="LT8" s="1"/>
      <c r="LU8" s="1"/>
      <c r="LV8" s="1"/>
      <c r="LW8" s="1"/>
      <c r="LX8" s="1"/>
      <c r="LY8" s="1"/>
      <c r="LZ8" s="1"/>
      <c r="MA8" s="1"/>
      <c r="MB8" s="1"/>
      <c r="MC8" s="1"/>
      <c r="MD8" s="1"/>
      <c r="ME8" s="1"/>
      <c r="MF8" s="1"/>
      <c r="MG8" s="1"/>
      <c r="MH8" s="1"/>
      <c r="MI8" s="1"/>
      <c r="MJ8" s="1"/>
      <c r="MK8" s="1"/>
      <c r="ML8" s="1"/>
      <c r="MM8" s="1"/>
      <c r="MN8" s="1"/>
      <c r="MO8" s="1"/>
      <c r="MP8" s="1"/>
      <c r="MQ8" s="1"/>
      <c r="MR8" s="1"/>
      <c r="MS8" s="1"/>
      <c r="MT8" s="1"/>
      <c r="MU8" s="1"/>
      <c r="MV8" s="1"/>
      <c r="MW8" s="1"/>
      <c r="MX8" s="1"/>
      <c r="MY8" s="1"/>
      <c r="MZ8" s="1" t="s">
        <v>37</v>
      </c>
      <c r="NA8" s="1"/>
      <c r="NB8" s="1"/>
      <c r="NC8" s="1"/>
      <c r="ND8" s="1"/>
      <c r="NE8" s="1"/>
      <c r="NF8" s="1"/>
      <c r="NG8" s="1"/>
      <c r="NH8" s="1"/>
      <c r="NI8" s="1"/>
      <c r="NJ8" s="1" t="s">
        <v>49</v>
      </c>
      <c r="NK8" s="18">
        <f t="array" aca="1" ref="NK8" ca="1">SUMPRODUCT((OFFSET($A8,0,1,1,372)&lt;&gt;"")*(IF(OFFSET($A8,0,1,1,372)=$NX$16,0.5,IF(OFFSET($A8,0,1,1,372)=$NX$17,0.5,1))*(OFFSET($A$3,0,1,1,372))))</f>
        <v>1</v>
      </c>
      <c r="NL8" s="23">
        <f t="shared" ref="NL8:NU17" ca="1" si="6">SUMPRODUCT((OFFSET($A8,0,1,1,372)&lt;&gt;"")*(OFFSET($A$3,0,1,1,372))*((OFFSET($A8,0,1,1,372))=NL$5))</f>
        <v>0</v>
      </c>
      <c r="NM8" s="23">
        <f t="shared" ca="1" si="6"/>
        <v>0</v>
      </c>
      <c r="NN8" s="23">
        <f t="shared" ca="1" si="6"/>
        <v>0</v>
      </c>
      <c r="NO8" s="23">
        <f t="shared" ca="1" si="6"/>
        <v>1</v>
      </c>
      <c r="NP8" s="23">
        <f t="shared" ca="1" si="6"/>
        <v>0</v>
      </c>
      <c r="NQ8" s="23">
        <f t="shared" ca="1" si="6"/>
        <v>0</v>
      </c>
      <c r="NR8" s="23">
        <f t="shared" ca="1" si="6"/>
        <v>0</v>
      </c>
      <c r="NS8" s="23">
        <f t="shared" ca="1" si="6"/>
        <v>0</v>
      </c>
      <c r="NT8" s="23">
        <f t="shared" ca="1" si="6"/>
        <v>0</v>
      </c>
      <c r="NU8" s="23">
        <f t="shared" ca="1" si="6"/>
        <v>0</v>
      </c>
      <c r="NW8" s="24" t="s">
        <v>50</v>
      </c>
      <c r="NX8" s="25" t="s">
        <v>49</v>
      </c>
    </row>
    <row r="9" spans="1:761" x14ac:dyDescent="0.25">
      <c r="A9" s="1" t="s">
        <v>137</v>
      </c>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32" t="s">
        <v>26</v>
      </c>
      <c r="DB9" s="32"/>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c r="EG9" s="1"/>
      <c r="EH9" s="1"/>
      <c r="EI9" s="1"/>
      <c r="EJ9" s="1"/>
      <c r="EK9" s="1"/>
      <c r="EL9" s="1"/>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c r="GF9" s="1"/>
      <c r="GG9" s="1"/>
      <c r="GH9" s="1"/>
      <c r="GI9" s="1"/>
      <c r="GJ9" s="1"/>
      <c r="GK9" s="1"/>
      <c r="GL9" s="1"/>
      <c r="GM9" s="1"/>
      <c r="GN9" s="1"/>
      <c r="GO9" s="1"/>
      <c r="GP9" s="1"/>
      <c r="GQ9" s="1"/>
      <c r="GR9" s="1"/>
      <c r="GS9" s="1"/>
      <c r="GT9" s="1"/>
      <c r="GU9" s="1"/>
      <c r="GV9" s="1"/>
      <c r="GW9" s="1"/>
      <c r="GX9" s="1"/>
      <c r="GY9" s="1"/>
      <c r="GZ9" s="1"/>
      <c r="HA9" s="1"/>
      <c r="HB9" s="1"/>
      <c r="HC9" s="1"/>
      <c r="HD9" s="1"/>
      <c r="HE9" s="1"/>
      <c r="HF9" s="1"/>
      <c r="HG9" s="1"/>
      <c r="HH9" s="1"/>
      <c r="HI9" s="1"/>
      <c r="HJ9" s="1"/>
      <c r="HK9" s="1"/>
      <c r="HL9" s="1"/>
      <c r="HM9" s="1"/>
      <c r="HN9" s="1"/>
      <c r="HO9" s="1"/>
      <c r="HP9" s="1"/>
      <c r="HQ9" s="1"/>
      <c r="HR9" s="1"/>
      <c r="HS9" s="1"/>
      <c r="HT9" s="1"/>
      <c r="HU9" s="1"/>
      <c r="HV9" s="1"/>
      <c r="HW9" s="1"/>
      <c r="HX9" s="1"/>
      <c r="HY9" s="1"/>
      <c r="HZ9" s="1"/>
      <c r="IA9" s="1"/>
      <c r="IB9" s="1"/>
      <c r="IC9" s="1"/>
      <c r="ID9" s="1"/>
      <c r="IE9" s="1"/>
      <c r="IF9" s="1"/>
      <c r="IG9" s="1"/>
      <c r="IH9" s="1"/>
      <c r="II9" s="1"/>
      <c r="IJ9" s="1"/>
      <c r="IK9" s="1"/>
      <c r="IL9" s="1"/>
      <c r="IM9" s="1"/>
      <c r="IN9" s="1"/>
      <c r="IO9" s="1"/>
      <c r="IP9" s="1"/>
      <c r="IQ9" s="1"/>
      <c r="IR9" s="1"/>
      <c r="IS9" s="1"/>
      <c r="IT9" s="1"/>
      <c r="IU9" s="1"/>
      <c r="IV9" s="1"/>
      <c r="IW9" s="1"/>
      <c r="IX9" s="1"/>
      <c r="IY9" s="1"/>
      <c r="IZ9" s="1"/>
      <c r="JA9" s="1"/>
      <c r="JB9" s="1"/>
      <c r="JC9" s="1"/>
      <c r="JD9" s="1"/>
      <c r="JE9" s="1"/>
      <c r="JF9" s="1"/>
      <c r="JG9" s="1"/>
      <c r="JH9" s="1"/>
      <c r="JI9" s="1"/>
      <c r="JJ9" s="1"/>
      <c r="JK9" s="1"/>
      <c r="JL9" s="1"/>
      <c r="JM9" s="1"/>
      <c r="JN9" s="1"/>
      <c r="JO9" s="1"/>
      <c r="JP9" s="1"/>
      <c r="JQ9" s="1"/>
      <c r="JR9" s="1"/>
      <c r="JS9" s="1"/>
      <c r="JT9" s="1"/>
      <c r="JU9" s="1"/>
      <c r="JV9" s="1"/>
      <c r="JW9" s="1"/>
      <c r="JX9" s="1"/>
      <c r="JY9" s="1"/>
      <c r="JZ9" s="1"/>
      <c r="KA9" s="1"/>
      <c r="KB9" s="1"/>
      <c r="KC9" s="1"/>
      <c r="KD9" s="1"/>
      <c r="KE9" s="1"/>
      <c r="KF9" s="1"/>
      <c r="KG9" s="1"/>
      <c r="KH9" s="1"/>
      <c r="KI9" s="1"/>
      <c r="KJ9" s="1"/>
      <c r="KK9" s="1"/>
      <c r="KL9" s="1"/>
      <c r="KM9" s="1"/>
      <c r="KN9" s="1"/>
      <c r="KO9" s="1"/>
      <c r="KP9" s="1"/>
      <c r="KQ9" s="1"/>
      <c r="KR9" s="1"/>
      <c r="KS9" s="1"/>
      <c r="KT9" s="1"/>
      <c r="KU9" s="1"/>
      <c r="KV9" s="1"/>
      <c r="KW9" s="1"/>
      <c r="KX9" s="1"/>
      <c r="KY9" s="1"/>
      <c r="KZ9" s="1"/>
      <c r="LA9" s="1"/>
      <c r="LB9" s="1"/>
      <c r="LC9" s="1"/>
      <c r="LD9" s="1"/>
      <c r="LE9" s="1"/>
      <c r="LF9" s="1"/>
      <c r="LG9" s="1"/>
      <c r="LH9" s="1"/>
      <c r="LI9" s="1"/>
      <c r="LJ9" s="1"/>
      <c r="LK9" s="1"/>
      <c r="LL9" s="1"/>
      <c r="LM9" s="1"/>
      <c r="LN9" s="1"/>
      <c r="LO9" s="1"/>
      <c r="LP9" s="1"/>
      <c r="LQ9" s="1"/>
      <c r="LR9" s="1"/>
      <c r="LS9" s="1"/>
      <c r="LT9" s="1"/>
      <c r="LU9" s="1"/>
      <c r="LV9" s="1"/>
      <c r="LW9" s="1"/>
      <c r="LX9" s="1"/>
      <c r="LY9" s="1"/>
      <c r="LZ9" s="1"/>
      <c r="MA9" s="1"/>
      <c r="MB9" s="1"/>
      <c r="MC9" s="1"/>
      <c r="MD9" s="1"/>
      <c r="ME9" s="1"/>
      <c r="MF9" s="1"/>
      <c r="MG9" s="1"/>
      <c r="MH9" s="1"/>
      <c r="MI9" s="1"/>
      <c r="MJ9" s="1"/>
      <c r="MK9" s="1"/>
      <c r="ML9" s="1"/>
      <c r="MM9" s="1"/>
      <c r="MN9" s="1"/>
      <c r="MO9" s="1"/>
      <c r="MP9" s="1"/>
      <c r="MQ9" s="1"/>
      <c r="MR9" s="1"/>
      <c r="MS9" s="1"/>
      <c r="MT9" s="1"/>
      <c r="MU9" s="1"/>
      <c r="MV9" s="1"/>
      <c r="MW9" s="1"/>
      <c r="MX9" s="1"/>
      <c r="MY9" s="1"/>
      <c r="MZ9" s="1" t="s">
        <v>37</v>
      </c>
      <c r="NA9" s="1"/>
      <c r="NB9" s="1"/>
      <c r="NC9" s="1"/>
      <c r="ND9" s="1"/>
      <c r="NE9" s="1"/>
      <c r="NF9" s="1"/>
      <c r="NG9" s="1"/>
      <c r="NH9" s="1"/>
      <c r="NI9" s="1"/>
      <c r="NJ9" s="1"/>
      <c r="NK9" s="18">
        <f t="array" aca="1" ref="NK9" ca="1">SUMPRODUCT((OFFSET($A9,0,1,1,372)&lt;&gt;"")*(IF(OFFSET($A9,0,1,1,372)=$NX$16,0.5,IF(OFFSET($A9,0,1,1,372)=$NX$17,0.5,1))*(OFFSET($A$3,0,1,1,372))))</f>
        <v>2</v>
      </c>
      <c r="NL9" s="23">
        <f t="shared" ca="1" si="6"/>
        <v>1</v>
      </c>
      <c r="NM9" s="23">
        <f t="shared" ca="1" si="6"/>
        <v>0</v>
      </c>
      <c r="NN9" s="23">
        <f t="shared" ca="1" si="6"/>
        <v>0</v>
      </c>
      <c r="NO9" s="23">
        <f t="shared" ca="1" si="6"/>
        <v>1</v>
      </c>
      <c r="NP9" s="23">
        <f t="shared" ca="1" si="6"/>
        <v>0</v>
      </c>
      <c r="NQ9" s="23">
        <f t="shared" ca="1" si="6"/>
        <v>0</v>
      </c>
      <c r="NR9" s="23">
        <f t="shared" ca="1" si="6"/>
        <v>0</v>
      </c>
      <c r="NS9" s="23">
        <f t="shared" ca="1" si="6"/>
        <v>0</v>
      </c>
      <c r="NT9" s="23">
        <f t="shared" ca="1" si="6"/>
        <v>0</v>
      </c>
      <c r="NU9" s="23">
        <f t="shared" ca="1" si="6"/>
        <v>0</v>
      </c>
      <c r="NW9" s="24" t="s">
        <v>192</v>
      </c>
      <c r="NX9" s="25" t="s">
        <v>190</v>
      </c>
    </row>
    <row r="10" spans="1:761" x14ac:dyDescent="0.25">
      <c r="A10" s="1" t="s">
        <v>138</v>
      </c>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c r="EG10" s="1"/>
      <c r="EH10" s="1"/>
      <c r="EI10" s="1"/>
      <c r="EJ10" s="1"/>
      <c r="EK10" s="1"/>
      <c r="EL10" s="1"/>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c r="GF10" s="1"/>
      <c r="GG10" s="1"/>
      <c r="GH10" s="1"/>
      <c r="GI10" s="1"/>
      <c r="GJ10" s="1"/>
      <c r="GK10" s="1"/>
      <c r="GL10" s="1"/>
      <c r="GM10" s="1"/>
      <c r="GN10" s="1"/>
      <c r="GO10" s="1"/>
      <c r="GP10" s="1"/>
      <c r="GQ10" s="1"/>
      <c r="GR10" s="1"/>
      <c r="GS10" s="1"/>
      <c r="GT10" s="1"/>
      <c r="GU10" s="1"/>
      <c r="GV10" s="1"/>
      <c r="GW10" s="1"/>
      <c r="GX10" s="1"/>
      <c r="GY10" s="1"/>
      <c r="GZ10" s="1"/>
      <c r="HA10" s="1"/>
      <c r="HB10" s="1"/>
      <c r="HC10" s="1"/>
      <c r="HD10" s="1"/>
      <c r="HE10" s="1"/>
      <c r="HF10" s="1"/>
      <c r="HG10" s="1"/>
      <c r="HH10" s="1"/>
      <c r="HI10" s="1"/>
      <c r="HJ10" s="1"/>
      <c r="HK10" s="1"/>
      <c r="HL10" s="1"/>
      <c r="HM10" s="1"/>
      <c r="HN10" s="1"/>
      <c r="HO10" s="1"/>
      <c r="HP10" s="1"/>
      <c r="HQ10" s="1"/>
      <c r="HR10" s="1"/>
      <c r="HS10" s="1"/>
      <c r="HT10" s="1"/>
      <c r="HU10" s="1"/>
      <c r="HV10" s="1"/>
      <c r="HW10" s="1"/>
      <c r="HX10" s="1"/>
      <c r="HY10" s="1"/>
      <c r="HZ10" s="1"/>
      <c r="IA10" s="1"/>
      <c r="IB10" s="1"/>
      <c r="IC10" s="1"/>
      <c r="ID10" s="1"/>
      <c r="IE10" s="1"/>
      <c r="IF10" s="1"/>
      <c r="IG10" s="1"/>
      <c r="IH10" s="1"/>
      <c r="II10" s="1"/>
      <c r="IJ10" s="1"/>
      <c r="IK10" s="1"/>
      <c r="IL10" s="1"/>
      <c r="IM10" s="1"/>
      <c r="IN10" s="1"/>
      <c r="IO10" s="1"/>
      <c r="IP10" s="1"/>
      <c r="IQ10" s="1"/>
      <c r="IR10" s="1"/>
      <c r="IS10" s="1"/>
      <c r="IT10" s="1"/>
      <c r="IU10" s="1"/>
      <c r="IV10" s="1"/>
      <c r="IW10" s="1"/>
      <c r="IX10" s="1"/>
      <c r="IY10" s="1"/>
      <c r="IZ10" s="1"/>
      <c r="JA10" s="1"/>
      <c r="JB10" s="1"/>
      <c r="JC10" s="1"/>
      <c r="JD10" s="1"/>
      <c r="JE10" s="1"/>
      <c r="JF10" s="1"/>
      <c r="JG10" s="1"/>
      <c r="JH10" s="1"/>
      <c r="JI10" s="1"/>
      <c r="JJ10" s="1"/>
      <c r="JK10" s="1"/>
      <c r="JL10" s="1"/>
      <c r="JM10" s="1"/>
      <c r="JN10" s="1"/>
      <c r="JO10" s="1"/>
      <c r="JP10" s="1"/>
      <c r="JQ10" s="1"/>
      <c r="JR10" s="1"/>
      <c r="JS10" s="1"/>
      <c r="JT10" s="1"/>
      <c r="JU10" s="1"/>
      <c r="JV10" s="1"/>
      <c r="JW10" s="1"/>
      <c r="JX10" s="1"/>
      <c r="JY10" s="1" t="s">
        <v>49</v>
      </c>
      <c r="JZ10" s="1"/>
      <c r="KA10" s="1"/>
      <c r="KB10" s="1" t="s">
        <v>49</v>
      </c>
      <c r="KC10" s="1"/>
      <c r="KD10" s="1"/>
      <c r="KE10" s="1"/>
      <c r="KF10" s="1"/>
      <c r="KG10" s="1"/>
      <c r="KH10" s="1"/>
      <c r="KI10" s="1"/>
      <c r="KJ10" s="1"/>
      <c r="KK10" s="1"/>
      <c r="KL10" s="1"/>
      <c r="KM10" s="1"/>
      <c r="KN10" s="1"/>
      <c r="KO10" s="1"/>
      <c r="KP10" s="1"/>
      <c r="KQ10" s="1"/>
      <c r="KR10" s="1"/>
      <c r="KS10" s="1"/>
      <c r="KT10" s="1"/>
      <c r="KU10" s="1"/>
      <c r="KV10" s="1"/>
      <c r="KW10" s="1"/>
      <c r="KX10" s="1"/>
      <c r="KY10" s="1"/>
      <c r="KZ10" s="1"/>
      <c r="LA10" s="1"/>
      <c r="LB10" s="1"/>
      <c r="LC10" s="1"/>
      <c r="LD10" s="1"/>
      <c r="LE10" s="1"/>
      <c r="LF10" s="1"/>
      <c r="LG10" s="1"/>
      <c r="LH10" s="1"/>
      <c r="LI10" s="1"/>
      <c r="LJ10" s="1"/>
      <c r="LK10" s="1"/>
      <c r="LL10" s="1"/>
      <c r="LM10" s="1"/>
      <c r="LN10" s="1"/>
      <c r="LO10" s="1"/>
      <c r="LP10" s="1"/>
      <c r="LQ10" s="1"/>
      <c r="LR10" s="1"/>
      <c r="LS10" s="1"/>
      <c r="LT10" s="1"/>
      <c r="LU10" s="1"/>
      <c r="LV10" s="1"/>
      <c r="LW10" s="1"/>
      <c r="LX10" s="1"/>
      <c r="LY10" s="1"/>
      <c r="LZ10" s="1"/>
      <c r="MA10" s="1"/>
      <c r="MB10" s="1"/>
      <c r="MC10" s="1"/>
      <c r="MD10" s="1"/>
      <c r="ME10" s="1"/>
      <c r="MF10" s="1"/>
      <c r="MG10" s="1"/>
      <c r="MH10" s="1"/>
      <c r="MI10" s="1"/>
      <c r="MJ10" s="1"/>
      <c r="MK10" s="1"/>
      <c r="ML10" s="1"/>
      <c r="MM10" s="1"/>
      <c r="MN10" s="1"/>
      <c r="MO10" s="1"/>
      <c r="MP10" s="1"/>
      <c r="MQ10" s="1"/>
      <c r="MR10" s="1"/>
      <c r="MS10" s="1"/>
      <c r="MT10" s="1"/>
      <c r="MU10" s="1"/>
      <c r="MV10" s="1"/>
      <c r="MW10" s="1"/>
      <c r="MX10" s="1"/>
      <c r="MY10" s="1"/>
      <c r="MZ10" s="1" t="s">
        <v>37</v>
      </c>
      <c r="NA10" s="1"/>
      <c r="NB10" s="1"/>
      <c r="NC10" s="1"/>
      <c r="ND10" s="1"/>
      <c r="NE10" s="1"/>
      <c r="NF10" s="1"/>
      <c r="NG10" s="1"/>
      <c r="NH10" s="1"/>
      <c r="NI10" s="1"/>
      <c r="NJ10" s="1"/>
      <c r="NK10" s="18">
        <f t="array" aca="1" ref="NK10" ca="1">SUMPRODUCT((OFFSET($A10,0,1,1,372)&lt;&gt;"")*(IF(OFFSET($A10,0,1,1,372)=$NX$16,0.5,IF(OFFSET($A10,0,1,1,372)=$NX$17,0.5,1))*(OFFSET($A$3,0,1,1,372))))</f>
        <v>2</v>
      </c>
      <c r="NL10" s="23">
        <f t="shared" ca="1" si="6"/>
        <v>0</v>
      </c>
      <c r="NM10" s="23">
        <f t="shared" ca="1" si="6"/>
        <v>1</v>
      </c>
      <c r="NN10" s="23">
        <f t="shared" ca="1" si="6"/>
        <v>0</v>
      </c>
      <c r="NO10" s="23">
        <f t="shared" ca="1" si="6"/>
        <v>1</v>
      </c>
      <c r="NP10" s="23">
        <f t="shared" ca="1" si="6"/>
        <v>0</v>
      </c>
      <c r="NQ10" s="23">
        <f t="shared" ca="1" si="6"/>
        <v>0</v>
      </c>
      <c r="NR10" s="23">
        <f t="shared" ca="1" si="6"/>
        <v>0</v>
      </c>
      <c r="NS10" s="23">
        <f t="shared" ca="1" si="6"/>
        <v>0</v>
      </c>
      <c r="NT10" s="23">
        <f t="shared" ca="1" si="6"/>
        <v>0</v>
      </c>
      <c r="NU10" s="23">
        <f t="shared" ca="1" si="6"/>
        <v>0</v>
      </c>
      <c r="NW10" s="16" t="s">
        <v>193</v>
      </c>
      <c r="NX10" s="25" t="s">
        <v>194</v>
      </c>
    </row>
    <row r="11" spans="1:761" x14ac:dyDescent="0.25">
      <c r="A11" s="1" t="s">
        <v>139</v>
      </c>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c r="EG11" s="1"/>
      <c r="EH11" s="1"/>
      <c r="EI11" s="1"/>
      <c r="EJ11" s="1"/>
      <c r="EK11" s="1"/>
      <c r="EL11" s="1"/>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c r="GF11" s="1"/>
      <c r="GG11" s="1"/>
      <c r="GH11" s="1"/>
      <c r="GI11" s="1"/>
      <c r="GJ11" s="1"/>
      <c r="GK11" s="1"/>
      <c r="GL11" s="1"/>
      <c r="GM11" s="1"/>
      <c r="GN11" s="1"/>
      <c r="GO11" s="1"/>
      <c r="GP11" s="1"/>
      <c r="GQ11" s="1"/>
      <c r="GR11" s="1"/>
      <c r="GS11" s="1"/>
      <c r="GT11" s="1"/>
      <c r="GU11" s="1"/>
      <c r="GV11" s="1"/>
      <c r="GW11" s="1"/>
      <c r="GX11" s="1"/>
      <c r="GY11" s="1"/>
      <c r="GZ11" s="1"/>
      <c r="HA11" s="1"/>
      <c r="HB11" s="1"/>
      <c r="HC11" s="1"/>
      <c r="HD11" s="1"/>
      <c r="HE11" s="1"/>
      <c r="HF11" s="1"/>
      <c r="HG11" s="1"/>
      <c r="HH11" s="1"/>
      <c r="HI11" s="1"/>
      <c r="HJ11" s="1"/>
      <c r="HK11" s="1"/>
      <c r="HL11" s="1"/>
      <c r="HM11" s="1"/>
      <c r="HN11" s="1"/>
      <c r="HO11" s="1"/>
      <c r="HP11" s="1"/>
      <c r="HQ11" s="1"/>
      <c r="HR11" s="1"/>
      <c r="HS11" s="1"/>
      <c r="HT11" s="1"/>
      <c r="HU11" s="1"/>
      <c r="HV11" s="1"/>
      <c r="HW11" s="1"/>
      <c r="HX11" s="1"/>
      <c r="HY11" s="1"/>
      <c r="HZ11" s="1"/>
      <c r="IA11" s="1"/>
      <c r="IB11" s="1"/>
      <c r="IC11" s="1"/>
      <c r="ID11" s="1"/>
      <c r="IE11" s="1"/>
      <c r="IF11" s="1"/>
      <c r="IG11" s="1"/>
      <c r="IH11" s="1"/>
      <c r="II11" s="1"/>
      <c r="IJ11" s="1"/>
      <c r="IK11" s="1"/>
      <c r="IL11" s="1"/>
      <c r="IM11" s="1"/>
      <c r="IN11" s="1"/>
      <c r="IO11" s="1"/>
      <c r="IP11" s="1"/>
      <c r="IQ11" s="1"/>
      <c r="IR11" s="1"/>
      <c r="IS11" s="1"/>
      <c r="IT11" s="1"/>
      <c r="IU11" s="1"/>
      <c r="IV11" s="1"/>
      <c r="IW11" s="1"/>
      <c r="IX11" s="1"/>
      <c r="IY11" s="1"/>
      <c r="IZ11" s="1"/>
      <c r="JA11" s="1"/>
      <c r="JB11" s="1"/>
      <c r="JC11" s="1"/>
      <c r="JD11" s="1"/>
      <c r="JE11" s="1"/>
      <c r="JF11" s="1"/>
      <c r="JG11" s="1"/>
      <c r="JH11" s="1"/>
      <c r="JI11" s="1"/>
      <c r="JJ11" s="1"/>
      <c r="JK11" s="1"/>
      <c r="JL11" s="1"/>
      <c r="JM11" s="1"/>
      <c r="JN11" s="1"/>
      <c r="JO11" s="1"/>
      <c r="JP11" s="1"/>
      <c r="JQ11" s="1"/>
      <c r="JR11" s="1"/>
      <c r="JS11" s="1"/>
      <c r="JT11" s="1"/>
      <c r="JU11" s="1"/>
      <c r="JV11" s="1"/>
      <c r="JW11" s="1"/>
      <c r="JX11" s="1"/>
      <c r="JY11" s="1"/>
      <c r="JZ11" s="1"/>
      <c r="KA11" s="1"/>
      <c r="KB11" s="1"/>
      <c r="KC11" s="1"/>
      <c r="KD11" s="1"/>
      <c r="KE11" s="1"/>
      <c r="KF11" s="1"/>
      <c r="KG11" s="1"/>
      <c r="KH11" s="1"/>
      <c r="KI11" s="1"/>
      <c r="KJ11" s="1"/>
      <c r="KK11" s="1"/>
      <c r="KL11" s="1"/>
      <c r="KM11" s="1"/>
      <c r="KN11" s="1"/>
      <c r="KO11" s="1"/>
      <c r="KP11" s="1"/>
      <c r="KQ11" s="1"/>
      <c r="KR11" s="1"/>
      <c r="KS11" s="1"/>
      <c r="KT11" s="1"/>
      <c r="KU11" s="1"/>
      <c r="KV11" s="1"/>
      <c r="KW11" s="1"/>
      <c r="KX11" s="1"/>
      <c r="KY11" s="1"/>
      <c r="KZ11" s="1"/>
      <c r="LA11" s="1"/>
      <c r="LB11" s="1"/>
      <c r="LC11" s="1"/>
      <c r="LD11" s="1"/>
      <c r="LE11" s="1"/>
      <c r="LF11" s="1"/>
      <c r="LG11" s="1"/>
      <c r="LH11" s="1"/>
      <c r="LI11" s="1"/>
      <c r="LJ11" s="1"/>
      <c r="LK11" s="1"/>
      <c r="LL11" s="1"/>
      <c r="LM11" s="1"/>
      <c r="LN11" s="1"/>
      <c r="LO11" s="1"/>
      <c r="LP11" s="1"/>
      <c r="LQ11" s="1"/>
      <c r="LR11" s="1"/>
      <c r="LS11" s="1"/>
      <c r="LT11" s="1"/>
      <c r="LU11" s="1"/>
      <c r="LV11" s="1"/>
      <c r="LW11" s="1"/>
      <c r="LX11" s="1"/>
      <c r="LY11" s="1"/>
      <c r="LZ11" s="1"/>
      <c r="MA11" s="1"/>
      <c r="MB11" s="1"/>
      <c r="MC11" s="1"/>
      <c r="MD11" s="1"/>
      <c r="ME11" s="1"/>
      <c r="MF11" s="1"/>
      <c r="MG11" s="1"/>
      <c r="MH11" s="1"/>
      <c r="MI11" s="1"/>
      <c r="MJ11" s="1"/>
      <c r="MK11" s="1"/>
      <c r="ML11" s="1"/>
      <c r="MM11" s="1"/>
      <c r="MN11" s="1"/>
      <c r="MO11" s="1"/>
      <c r="MP11" s="1"/>
      <c r="MQ11" s="1"/>
      <c r="MR11" s="1"/>
      <c r="MS11" s="1"/>
      <c r="MT11" s="1"/>
      <c r="MU11" s="1"/>
      <c r="MV11" s="1"/>
      <c r="MW11" s="1"/>
      <c r="MX11" s="1"/>
      <c r="MY11" s="1"/>
      <c r="MZ11" s="1" t="s">
        <v>37</v>
      </c>
      <c r="NA11" s="1"/>
      <c r="NB11" s="1"/>
      <c r="NC11" s="1"/>
      <c r="ND11" s="1"/>
      <c r="NE11" s="1"/>
      <c r="NF11" s="1"/>
      <c r="NG11" s="1"/>
      <c r="NH11" s="1"/>
      <c r="NI11" s="1"/>
      <c r="NJ11" s="1"/>
      <c r="NK11" s="18">
        <f t="array" aca="1" ref="NK11" ca="1">SUMPRODUCT((OFFSET($A11,0,1,1,372)&lt;&gt;"")*(IF(OFFSET($A11,0,1,1,372)=$NX$16,0.5,IF(OFFSET($A11,0,1,1,372)=$NX$17,0.5,1))*(OFFSET($A$3,0,1,1,372))))</f>
        <v>1</v>
      </c>
      <c r="NL11" s="23">
        <f t="shared" ca="1" si="6"/>
        <v>0</v>
      </c>
      <c r="NM11" s="23">
        <f t="shared" ca="1" si="6"/>
        <v>0</v>
      </c>
      <c r="NN11" s="23">
        <f t="shared" ca="1" si="6"/>
        <v>0</v>
      </c>
      <c r="NO11" s="23">
        <f t="shared" ca="1" si="6"/>
        <v>1</v>
      </c>
      <c r="NP11" s="23">
        <f t="shared" ca="1" si="6"/>
        <v>0</v>
      </c>
      <c r="NQ11" s="23">
        <f t="shared" ca="1" si="6"/>
        <v>0</v>
      </c>
      <c r="NR11" s="23">
        <f t="shared" ca="1" si="6"/>
        <v>0</v>
      </c>
      <c r="NS11" s="23">
        <f t="shared" ca="1" si="6"/>
        <v>0</v>
      </c>
      <c r="NT11" s="23">
        <f t="shared" ca="1" si="6"/>
        <v>0</v>
      </c>
      <c r="NU11" s="23">
        <f t="shared" ca="1" si="6"/>
        <v>0</v>
      </c>
      <c r="NW11" s="16" t="s">
        <v>191</v>
      </c>
      <c r="NX11" s="25" t="s">
        <v>37</v>
      </c>
    </row>
    <row r="12" spans="1:761" x14ac:dyDescent="0.25">
      <c r="A12" s="1" t="s">
        <v>140</v>
      </c>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c r="EG12" s="1"/>
      <c r="EH12" s="1"/>
      <c r="EI12" s="1"/>
      <c r="EJ12" s="1"/>
      <c r="EK12" s="1"/>
      <c r="EL12" s="1"/>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c r="GF12" s="1"/>
      <c r="GG12" s="1"/>
      <c r="GH12" s="1"/>
      <c r="GI12" s="1"/>
      <c r="GJ12" s="1"/>
      <c r="GK12" s="1"/>
      <c r="GL12" s="1"/>
      <c r="GM12" s="1"/>
      <c r="GN12" s="1"/>
      <c r="GO12" s="1"/>
      <c r="GP12" s="1"/>
      <c r="GQ12" s="1"/>
      <c r="GR12" s="1"/>
      <c r="GS12" s="1"/>
      <c r="GT12" s="1"/>
      <c r="GU12" s="1"/>
      <c r="GV12" s="1"/>
      <c r="GW12" s="1"/>
      <c r="GX12" s="1"/>
      <c r="GY12" s="1"/>
      <c r="GZ12" s="1"/>
      <c r="HA12" s="1"/>
      <c r="HB12" s="1"/>
      <c r="HC12" s="1"/>
      <c r="HD12" s="1"/>
      <c r="HE12" s="1"/>
      <c r="HF12" s="1"/>
      <c r="HG12" s="1"/>
      <c r="HH12" s="1"/>
      <c r="HI12" s="1"/>
      <c r="HJ12" s="1"/>
      <c r="HK12" s="1"/>
      <c r="HL12" s="1"/>
      <c r="HM12" s="1"/>
      <c r="HN12" s="1"/>
      <c r="HO12" s="1"/>
      <c r="HP12" s="1"/>
      <c r="HQ12" s="1"/>
      <c r="HR12" s="1"/>
      <c r="HS12" s="1"/>
      <c r="HT12" s="1"/>
      <c r="HU12" s="1"/>
      <c r="HV12" s="1"/>
      <c r="HW12" s="1"/>
      <c r="HX12" s="1"/>
      <c r="HY12" s="1"/>
      <c r="HZ12" s="1"/>
      <c r="IA12" s="1"/>
      <c r="IB12" s="1"/>
      <c r="IC12" s="1"/>
      <c r="ID12" s="1"/>
      <c r="IE12" s="1"/>
      <c r="IF12" s="1"/>
      <c r="IG12" s="1"/>
      <c r="IH12" s="1"/>
      <c r="II12" s="1"/>
      <c r="IJ12" s="1"/>
      <c r="IK12" s="1"/>
      <c r="IL12" s="1"/>
      <c r="IM12" s="1"/>
      <c r="IN12" s="1"/>
      <c r="IO12" s="1"/>
      <c r="IP12" s="1"/>
      <c r="IQ12" s="1"/>
      <c r="IR12" s="1"/>
      <c r="IS12" s="1"/>
      <c r="IT12" s="1"/>
      <c r="IU12" s="1"/>
      <c r="IV12" s="1"/>
      <c r="IW12" s="1"/>
      <c r="IX12" s="1"/>
      <c r="IY12" s="1"/>
      <c r="IZ12" s="1"/>
      <c r="JA12" s="1"/>
      <c r="JB12" s="1"/>
      <c r="JC12" s="1"/>
      <c r="JD12" s="1"/>
      <c r="JE12" s="1"/>
      <c r="JF12" s="1"/>
      <c r="JG12" s="1"/>
      <c r="JH12" s="1"/>
      <c r="JI12" s="1"/>
      <c r="JJ12" s="1"/>
      <c r="JK12" s="1"/>
      <c r="JL12" s="1"/>
      <c r="JM12" s="1" t="s">
        <v>49</v>
      </c>
      <c r="JN12" s="1" t="s">
        <v>49</v>
      </c>
      <c r="JO12" s="1" t="s">
        <v>49</v>
      </c>
      <c r="JP12" s="1" t="s">
        <v>49</v>
      </c>
      <c r="JQ12" s="1" t="s">
        <v>49</v>
      </c>
      <c r="JR12" s="1"/>
      <c r="JS12" s="1"/>
      <c r="JT12" s="1" t="s">
        <v>49</v>
      </c>
      <c r="JU12" s="1"/>
      <c r="JV12" s="1" t="s">
        <v>49</v>
      </c>
      <c r="JW12" s="1" t="s">
        <v>49</v>
      </c>
      <c r="JX12" s="1" t="s">
        <v>49</v>
      </c>
      <c r="JY12" s="1" t="s">
        <v>49</v>
      </c>
      <c r="JZ12" s="1"/>
      <c r="KA12" s="1"/>
      <c r="KB12" s="1"/>
      <c r="KC12" s="1"/>
      <c r="KD12" s="1"/>
      <c r="KE12" s="1"/>
      <c r="KF12" s="1"/>
      <c r="KG12" s="1"/>
      <c r="KH12" s="1"/>
      <c r="KI12" s="1"/>
      <c r="KJ12" s="1"/>
      <c r="KK12" s="1"/>
      <c r="KL12" s="1"/>
      <c r="KM12" s="1"/>
      <c r="KN12" s="1"/>
      <c r="KO12" s="1"/>
      <c r="KP12" s="1"/>
      <c r="KQ12" s="1"/>
      <c r="KR12" s="1"/>
      <c r="KS12" s="1"/>
      <c r="KT12" s="1"/>
      <c r="KU12" s="1"/>
      <c r="KV12" s="1"/>
      <c r="KW12" s="1"/>
      <c r="KX12" s="1"/>
      <c r="KY12" s="1"/>
      <c r="KZ12" s="1"/>
      <c r="LA12" s="1"/>
      <c r="LB12" s="1"/>
      <c r="LC12" s="1"/>
      <c r="LD12" s="1"/>
      <c r="LE12" s="1"/>
      <c r="LF12" s="1"/>
      <c r="LG12" s="1"/>
      <c r="LH12" s="1"/>
      <c r="LI12" s="1"/>
      <c r="LJ12" s="1"/>
      <c r="LK12" s="1"/>
      <c r="LL12" s="1"/>
      <c r="LM12" s="1"/>
      <c r="LN12" s="1"/>
      <c r="LO12" s="1"/>
      <c r="LP12" s="1"/>
      <c r="LQ12" s="1"/>
      <c r="LR12" s="1"/>
      <c r="LS12" s="1"/>
      <c r="LT12" s="1"/>
      <c r="LU12" s="1"/>
      <c r="LV12" s="1"/>
      <c r="LW12" s="1"/>
      <c r="LX12" s="1"/>
      <c r="LY12" s="1"/>
      <c r="LZ12" s="1"/>
      <c r="MA12" s="1"/>
      <c r="MB12" s="1"/>
      <c r="MC12" s="1"/>
      <c r="MD12" s="1"/>
      <c r="ME12" s="1"/>
      <c r="MF12" s="1"/>
      <c r="MG12" s="1"/>
      <c r="MH12" s="1"/>
      <c r="MI12" s="1"/>
      <c r="MJ12" s="1"/>
      <c r="MK12" s="1"/>
      <c r="ML12" s="1"/>
      <c r="MM12" s="1"/>
      <c r="MN12" s="1"/>
      <c r="MO12" s="1"/>
      <c r="MP12" s="1"/>
      <c r="MQ12" s="1"/>
      <c r="MR12" s="1"/>
      <c r="MS12" s="1"/>
      <c r="MT12" s="1"/>
      <c r="MU12" s="1"/>
      <c r="MV12" s="1"/>
      <c r="MW12" s="1"/>
      <c r="MX12" s="1"/>
      <c r="MY12" s="1"/>
      <c r="MZ12" s="1" t="s">
        <v>37</v>
      </c>
      <c r="NA12" s="1"/>
      <c r="NB12" s="1"/>
      <c r="NC12" s="1"/>
      <c r="ND12" s="1"/>
      <c r="NE12" s="1"/>
      <c r="NF12" s="1"/>
      <c r="NG12" s="1"/>
      <c r="NH12" s="1"/>
      <c r="NI12" s="1"/>
      <c r="NJ12" s="1"/>
      <c r="NK12" s="18">
        <f t="array" aca="1" ref="NK12" ca="1">SUMPRODUCT((OFFSET($A12,0,1,1,372)&lt;&gt;"")*(IF(OFFSET($A12,0,1,1,372)=$NX$16,0.5,IF(OFFSET($A12,0,1,1,372)=$NX$17,0.5,1))*(OFFSET($A$3,0,1,1,372))))</f>
        <v>7</v>
      </c>
      <c r="NL12" s="23">
        <f t="shared" ca="1" si="6"/>
        <v>0</v>
      </c>
      <c r="NM12" s="23">
        <f t="shared" ca="1" si="6"/>
        <v>6</v>
      </c>
      <c r="NN12" s="23">
        <f t="shared" ca="1" si="6"/>
        <v>0</v>
      </c>
      <c r="NO12" s="23">
        <f t="shared" ca="1" si="6"/>
        <v>1</v>
      </c>
      <c r="NP12" s="23">
        <f t="shared" ca="1" si="6"/>
        <v>0</v>
      </c>
      <c r="NQ12" s="23">
        <f t="shared" ca="1" si="6"/>
        <v>0</v>
      </c>
      <c r="NR12" s="23">
        <f t="shared" ca="1" si="6"/>
        <v>0</v>
      </c>
      <c r="NS12" s="23">
        <f t="shared" ca="1" si="6"/>
        <v>0</v>
      </c>
      <c r="NT12" s="23">
        <f t="shared" ca="1" si="6"/>
        <v>0</v>
      </c>
      <c r="NU12" s="23">
        <f t="shared" ca="1" si="6"/>
        <v>0</v>
      </c>
      <c r="NW12" s="16" t="s">
        <v>196</v>
      </c>
      <c r="NX12" s="25" t="s">
        <v>26</v>
      </c>
    </row>
    <row r="13" spans="1:761" x14ac:dyDescent="0.25">
      <c r="A13" s="1" t="s">
        <v>141</v>
      </c>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c r="EG13" s="1"/>
      <c r="EH13" s="1"/>
      <c r="EI13" s="1"/>
      <c r="EJ13" s="1"/>
      <c r="EK13" s="1"/>
      <c r="EL13" s="1"/>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c r="GF13" s="1"/>
      <c r="GG13" s="1"/>
      <c r="GH13" s="1"/>
      <c r="GI13" s="1"/>
      <c r="GJ13" s="1"/>
      <c r="GK13" s="1"/>
      <c r="GL13" s="1"/>
      <c r="GM13" s="1"/>
      <c r="GN13" s="1"/>
      <c r="GO13" s="1"/>
      <c r="GP13" s="1"/>
      <c r="GQ13" s="1"/>
      <c r="GR13" s="1"/>
      <c r="GS13" s="1"/>
      <c r="GT13" s="1"/>
      <c r="GU13" s="1"/>
      <c r="GV13" s="1"/>
      <c r="GW13" s="1"/>
      <c r="GX13" s="1"/>
      <c r="GY13" s="1"/>
      <c r="GZ13" s="1"/>
      <c r="HA13" s="1"/>
      <c r="HB13" s="1"/>
      <c r="HC13" s="1"/>
      <c r="HD13" s="1"/>
      <c r="HE13" s="1"/>
      <c r="HF13" s="1"/>
      <c r="HG13" s="1"/>
      <c r="HH13" s="1"/>
      <c r="HI13" s="1"/>
      <c r="HJ13" s="1"/>
      <c r="HK13" s="1"/>
      <c r="HL13" s="1"/>
      <c r="HM13" s="1"/>
      <c r="HN13" s="1"/>
      <c r="HO13" s="1"/>
      <c r="HP13" s="1"/>
      <c r="HQ13" s="1"/>
      <c r="HR13" s="1"/>
      <c r="HS13" s="1"/>
      <c r="HT13" s="1"/>
      <c r="HU13" s="1"/>
      <c r="HV13" s="1"/>
      <c r="HW13" s="1"/>
      <c r="HX13" s="1"/>
      <c r="HY13" s="1"/>
      <c r="HZ13" s="1"/>
      <c r="IA13" s="1"/>
      <c r="IB13" s="1"/>
      <c r="IC13" s="1"/>
      <c r="ID13" s="1"/>
      <c r="IE13" s="1"/>
      <c r="IF13" s="1"/>
      <c r="IG13" s="1"/>
      <c r="IH13" s="1"/>
      <c r="II13" s="1"/>
      <c r="IJ13" s="1"/>
      <c r="IK13" s="1"/>
      <c r="IL13" s="1"/>
      <c r="IM13" s="1"/>
      <c r="IN13" s="1"/>
      <c r="IO13" s="1"/>
      <c r="IP13" s="1"/>
      <c r="IQ13" s="1"/>
      <c r="IR13" s="1"/>
      <c r="IS13" s="1"/>
      <c r="IT13" s="1"/>
      <c r="IU13" s="1"/>
      <c r="IV13" s="1"/>
      <c r="IW13" s="1"/>
      <c r="IX13" s="1"/>
      <c r="IY13" s="1"/>
      <c r="IZ13" s="1"/>
      <c r="JA13" s="1"/>
      <c r="JB13" s="1"/>
      <c r="JC13" s="1"/>
      <c r="JD13" s="1"/>
      <c r="JE13" s="1"/>
      <c r="JF13" s="1"/>
      <c r="JG13" s="1"/>
      <c r="JH13" s="1"/>
      <c r="JI13" s="1"/>
      <c r="JJ13" s="1"/>
      <c r="JK13" s="1"/>
      <c r="JL13" s="1"/>
      <c r="JM13" s="1"/>
      <c r="JN13" s="1"/>
      <c r="JO13" s="1"/>
      <c r="JP13" s="1"/>
      <c r="JQ13" s="1"/>
      <c r="JR13" s="1"/>
      <c r="JS13" s="1"/>
      <c r="JT13" s="1" t="s">
        <v>49</v>
      </c>
      <c r="JU13" s="1"/>
      <c r="JV13" s="1" t="s">
        <v>49</v>
      </c>
      <c r="JW13" s="1" t="s">
        <v>49</v>
      </c>
      <c r="JX13" s="1" t="s">
        <v>49</v>
      </c>
      <c r="JY13" s="1" t="s">
        <v>49</v>
      </c>
      <c r="JZ13" s="1"/>
      <c r="KA13" s="1"/>
      <c r="KB13" s="1"/>
      <c r="KC13" s="1"/>
      <c r="KD13" s="1"/>
      <c r="KE13" s="1"/>
      <c r="KF13" s="1"/>
      <c r="KG13" s="1"/>
      <c r="KH13" s="1"/>
      <c r="KI13" s="1"/>
      <c r="KJ13" s="1"/>
      <c r="KK13" s="1"/>
      <c r="KL13" s="1"/>
      <c r="KM13" s="1"/>
      <c r="KN13" s="1"/>
      <c r="KO13" s="1"/>
      <c r="KP13" s="1"/>
      <c r="KQ13" s="1"/>
      <c r="KR13" s="1"/>
      <c r="KS13" s="1"/>
      <c r="KT13" s="1"/>
      <c r="KU13" s="1"/>
      <c r="KV13" s="1"/>
      <c r="KW13" s="1"/>
      <c r="KX13" s="1"/>
      <c r="KY13" s="1"/>
      <c r="KZ13" s="1"/>
      <c r="LA13" s="1"/>
      <c r="LB13" s="1"/>
      <c r="LC13" s="1"/>
      <c r="LD13" s="1"/>
      <c r="LE13" s="1"/>
      <c r="LF13" s="1"/>
      <c r="LG13" s="1"/>
      <c r="LH13" s="1"/>
      <c r="LI13" s="1"/>
      <c r="LJ13" s="1"/>
      <c r="LK13" s="1"/>
      <c r="LL13" s="1"/>
      <c r="LM13" s="1"/>
      <c r="LN13" s="1"/>
      <c r="LO13" s="1"/>
      <c r="LP13" s="1"/>
      <c r="LQ13" s="1"/>
      <c r="LR13" s="1"/>
      <c r="LS13" s="1"/>
      <c r="LT13" s="1"/>
      <c r="LU13" s="1"/>
      <c r="LV13" s="1"/>
      <c r="LW13" s="1"/>
      <c r="LX13" s="1"/>
      <c r="LY13" s="1"/>
      <c r="LZ13" s="1"/>
      <c r="MA13" s="1"/>
      <c r="MB13" s="1"/>
      <c r="MC13" s="1"/>
      <c r="MD13" s="1"/>
      <c r="ME13" s="1"/>
      <c r="MF13" s="1"/>
      <c r="MG13" s="1"/>
      <c r="MH13" s="1"/>
      <c r="MI13" s="1"/>
      <c r="MJ13" s="1"/>
      <c r="MK13" s="1"/>
      <c r="ML13" s="1"/>
      <c r="MM13" s="1"/>
      <c r="MN13" s="1"/>
      <c r="MO13" s="1"/>
      <c r="MP13" s="1"/>
      <c r="MQ13" s="1"/>
      <c r="MR13" s="1"/>
      <c r="MS13" s="1"/>
      <c r="MT13" s="1"/>
      <c r="MU13" s="1"/>
      <c r="MV13" s="1"/>
      <c r="MW13" s="1"/>
      <c r="MX13" s="1"/>
      <c r="MY13" s="1"/>
      <c r="MZ13" s="1" t="s">
        <v>37</v>
      </c>
      <c r="NA13" s="1"/>
      <c r="NB13" s="1"/>
      <c r="NC13" s="1"/>
      <c r="ND13" s="1"/>
      <c r="NE13" s="1"/>
      <c r="NF13" s="1"/>
      <c r="NG13" s="1"/>
      <c r="NH13" s="1"/>
      <c r="NI13" s="1"/>
      <c r="NJ13" s="1"/>
      <c r="NK13" s="18">
        <f t="array" aca="1" ref="NK13" ca="1">SUMPRODUCT((OFFSET($A13,0,1,1,372)&lt;&gt;"")*(IF(OFFSET($A13,0,1,1,372)=$NX$16,0.5,IF(OFFSET($A13,0,1,1,372)=$NX$17,0.5,1))*(OFFSET($A$3,0,1,1,372))))</f>
        <v>4</v>
      </c>
      <c r="NL13" s="23">
        <f t="shared" ca="1" si="6"/>
        <v>0</v>
      </c>
      <c r="NM13" s="23">
        <f t="shared" ca="1" si="6"/>
        <v>3</v>
      </c>
      <c r="NN13" s="23">
        <f t="shared" ca="1" si="6"/>
        <v>0</v>
      </c>
      <c r="NO13" s="23">
        <f t="shared" ca="1" si="6"/>
        <v>1</v>
      </c>
      <c r="NP13" s="23">
        <f t="shared" ca="1" si="6"/>
        <v>0</v>
      </c>
      <c r="NQ13" s="23">
        <f t="shared" ca="1" si="6"/>
        <v>0</v>
      </c>
      <c r="NR13" s="23">
        <f t="shared" ca="1" si="6"/>
        <v>0</v>
      </c>
      <c r="NS13" s="23">
        <f t="shared" ca="1" si="6"/>
        <v>0</v>
      </c>
      <c r="NT13" s="23">
        <f t="shared" ca="1" si="6"/>
        <v>0</v>
      </c>
      <c r="NU13" s="23">
        <f t="shared" ca="1" si="6"/>
        <v>0</v>
      </c>
      <c r="NW13" s="24" t="s">
        <v>39</v>
      </c>
      <c r="NX13" s="25" t="s">
        <v>40</v>
      </c>
    </row>
    <row r="14" spans="1:761" x14ac:dyDescent="0.25">
      <c r="A14" s="1" t="s">
        <v>142</v>
      </c>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c r="EG14" s="1"/>
      <c r="EH14" s="1"/>
      <c r="EI14" s="1"/>
      <c r="EJ14" s="1"/>
      <c r="EK14" s="1"/>
      <c r="EL14" s="1"/>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c r="GF14" s="1"/>
      <c r="GG14" s="1"/>
      <c r="GH14" s="1"/>
      <c r="GI14" s="1"/>
      <c r="GJ14" s="1"/>
      <c r="GK14" s="1"/>
      <c r="GL14" s="1"/>
      <c r="GM14" s="1"/>
      <c r="GN14" s="1"/>
      <c r="GO14" s="1"/>
      <c r="GP14" s="1"/>
      <c r="GQ14" s="1"/>
      <c r="GR14" s="1"/>
      <c r="GS14" s="1"/>
      <c r="GT14" s="1"/>
      <c r="GU14" s="1"/>
      <c r="GV14" s="1"/>
      <c r="GW14" s="1"/>
      <c r="GX14" s="1"/>
      <c r="GY14" s="1"/>
      <c r="GZ14" s="1"/>
      <c r="HA14" s="1"/>
      <c r="HB14" s="1"/>
      <c r="HC14" s="1"/>
      <c r="HD14" s="1"/>
      <c r="HE14" s="1"/>
      <c r="HF14" s="1"/>
      <c r="HG14" s="1"/>
      <c r="HH14" s="1"/>
      <c r="HI14" s="1"/>
      <c r="HJ14" s="1"/>
      <c r="HK14" s="1"/>
      <c r="HL14" s="1"/>
      <c r="HM14" s="1"/>
      <c r="HN14" s="1"/>
      <c r="HO14" s="1"/>
      <c r="HP14" s="1"/>
      <c r="HQ14" s="1"/>
      <c r="HR14" s="1"/>
      <c r="HS14" s="1"/>
      <c r="HT14" s="1"/>
      <c r="HU14" s="1"/>
      <c r="HV14" s="1"/>
      <c r="HW14" s="1"/>
      <c r="HX14" s="1"/>
      <c r="HY14" s="1"/>
      <c r="HZ14" s="1"/>
      <c r="IA14" s="1"/>
      <c r="IB14" s="1"/>
      <c r="IC14" s="1"/>
      <c r="ID14" s="1"/>
      <c r="IE14" s="1"/>
      <c r="IF14" s="1"/>
      <c r="IG14" s="1"/>
      <c r="IH14" s="1"/>
      <c r="II14" s="1"/>
      <c r="IJ14" s="1"/>
      <c r="IK14" s="1"/>
      <c r="IL14" s="1"/>
      <c r="IM14" s="1"/>
      <c r="IN14" s="1"/>
      <c r="IO14" s="1"/>
      <c r="IP14" s="1"/>
      <c r="IQ14" s="1"/>
      <c r="IR14" s="1"/>
      <c r="IS14" s="1"/>
      <c r="IT14" s="1"/>
      <c r="IU14" s="1"/>
      <c r="IV14" s="1"/>
      <c r="IW14" s="1"/>
      <c r="IX14" s="1"/>
      <c r="IY14" s="1"/>
      <c r="IZ14" s="1"/>
      <c r="JA14" s="1"/>
      <c r="JB14" s="1"/>
      <c r="JC14" s="1"/>
      <c r="JD14" s="1"/>
      <c r="JE14" s="1"/>
      <c r="JF14" s="1"/>
      <c r="JG14" s="1"/>
      <c r="JH14" s="1"/>
      <c r="JI14" s="1"/>
      <c r="JJ14" s="1"/>
      <c r="JK14" s="1"/>
      <c r="JL14" s="1"/>
      <c r="JM14" s="1"/>
      <c r="JN14" s="1"/>
      <c r="JO14" s="1"/>
      <c r="JP14" s="1"/>
      <c r="JQ14" s="1"/>
      <c r="JR14" s="1"/>
      <c r="JS14" s="1"/>
      <c r="JT14" s="1"/>
      <c r="JU14" s="1"/>
      <c r="JV14" s="1"/>
      <c r="JW14" s="1"/>
      <c r="JX14" s="1"/>
      <c r="JY14" s="1"/>
      <c r="JZ14" s="1"/>
      <c r="KA14" s="1"/>
      <c r="KB14" s="1"/>
      <c r="KC14" s="1"/>
      <c r="KD14" s="1"/>
      <c r="KE14" s="1"/>
      <c r="KF14" s="1"/>
      <c r="KG14" s="1"/>
      <c r="KH14" s="1"/>
      <c r="KI14" s="1"/>
      <c r="KJ14" s="1"/>
      <c r="KK14" s="1"/>
      <c r="KL14" s="1"/>
      <c r="KM14" s="1"/>
      <c r="KN14" s="1"/>
      <c r="KO14" s="1"/>
      <c r="KP14" s="1"/>
      <c r="KQ14" s="1"/>
      <c r="KR14" s="1"/>
      <c r="KS14" s="1"/>
      <c r="KT14" s="1"/>
      <c r="KU14" s="1"/>
      <c r="KV14" s="1"/>
      <c r="KW14" s="1"/>
      <c r="KX14" s="1"/>
      <c r="KY14" s="1"/>
      <c r="KZ14" s="1"/>
      <c r="LA14" s="1"/>
      <c r="LB14" s="1"/>
      <c r="LC14" s="1"/>
      <c r="LD14" s="1"/>
      <c r="LE14" s="1"/>
      <c r="LF14" s="1"/>
      <c r="LG14" s="1"/>
      <c r="LH14" s="1"/>
      <c r="LI14" s="1"/>
      <c r="LJ14" s="1"/>
      <c r="LK14" s="1"/>
      <c r="LL14" s="1"/>
      <c r="LM14" s="1"/>
      <c r="LN14" s="1"/>
      <c r="LO14" s="1"/>
      <c r="LP14" s="1"/>
      <c r="LQ14" s="1"/>
      <c r="LR14" s="1"/>
      <c r="LS14" s="1"/>
      <c r="LT14" s="1"/>
      <c r="LU14" s="1"/>
      <c r="LV14" s="1"/>
      <c r="LW14" s="1"/>
      <c r="LX14" s="1"/>
      <c r="LY14" s="1"/>
      <c r="LZ14" s="1"/>
      <c r="MA14" s="1"/>
      <c r="MB14" s="1"/>
      <c r="MC14" s="1"/>
      <c r="MD14" s="1"/>
      <c r="ME14" s="1"/>
      <c r="MF14" s="1"/>
      <c r="MG14" s="1"/>
      <c r="MH14" s="1"/>
      <c r="MI14" s="1"/>
      <c r="MJ14" s="1"/>
      <c r="MK14" s="1"/>
      <c r="ML14" s="1"/>
      <c r="MM14" s="1"/>
      <c r="MN14" s="1"/>
      <c r="MO14" s="1"/>
      <c r="MP14" s="1"/>
      <c r="MQ14" s="1"/>
      <c r="MR14" s="1"/>
      <c r="MS14" s="1"/>
      <c r="MT14" s="1"/>
      <c r="MU14" s="1"/>
      <c r="MV14" s="1"/>
      <c r="MW14" s="1"/>
      <c r="MX14" s="1"/>
      <c r="MY14" s="1"/>
      <c r="MZ14" s="1" t="s">
        <v>37</v>
      </c>
      <c r="NA14" s="1"/>
      <c r="NB14" s="1"/>
      <c r="NC14" s="1"/>
      <c r="ND14" s="1"/>
      <c r="NE14" s="1"/>
      <c r="NF14" s="1"/>
      <c r="NG14" s="1"/>
      <c r="NH14" s="1"/>
      <c r="NI14" s="1"/>
      <c r="NJ14" s="1"/>
      <c r="NK14" s="18">
        <f t="array" aca="1" ref="NK14" ca="1">SUMPRODUCT((OFFSET($A14,0,1,1,372)&lt;&gt;"")*(IF(OFFSET($A14,0,1,1,372)=$NX$16,0.5,IF(OFFSET($A14,0,1,1,372)=$NX$17,0.5,1))*(OFFSET($A$3,0,1,1,372))))</f>
        <v>1</v>
      </c>
      <c r="NL14" s="23">
        <f t="shared" ca="1" si="6"/>
        <v>0</v>
      </c>
      <c r="NM14" s="23">
        <f t="shared" ca="1" si="6"/>
        <v>0</v>
      </c>
      <c r="NN14" s="23">
        <f t="shared" ca="1" si="6"/>
        <v>0</v>
      </c>
      <c r="NO14" s="23">
        <f t="shared" ca="1" si="6"/>
        <v>1</v>
      </c>
      <c r="NP14" s="23">
        <f t="shared" ca="1" si="6"/>
        <v>0</v>
      </c>
      <c r="NQ14" s="23">
        <f t="shared" ca="1" si="6"/>
        <v>0</v>
      </c>
      <c r="NR14" s="23">
        <f t="shared" ca="1" si="6"/>
        <v>0</v>
      </c>
      <c r="NS14" s="23">
        <f t="shared" ca="1" si="6"/>
        <v>0</v>
      </c>
      <c r="NT14" s="23">
        <f t="shared" ca="1" si="6"/>
        <v>0</v>
      </c>
      <c r="NU14" s="23">
        <f t="shared" ca="1" si="6"/>
        <v>0</v>
      </c>
      <c r="NW14" s="16" t="s">
        <v>25</v>
      </c>
      <c r="NX14" s="25" t="s">
        <v>197</v>
      </c>
    </row>
    <row r="15" spans="1:761" x14ac:dyDescent="0.25">
      <c r="A15" s="1" t="s">
        <v>143</v>
      </c>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c r="EG15" s="1"/>
      <c r="EH15" s="1"/>
      <c r="EI15" s="1"/>
      <c r="EJ15" s="1"/>
      <c r="EK15" s="1"/>
      <c r="EL15" s="1"/>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c r="GF15" s="1"/>
      <c r="GG15" s="1"/>
      <c r="GH15" s="1"/>
      <c r="GI15" s="1"/>
      <c r="GJ15" s="1"/>
      <c r="GK15" s="1"/>
      <c r="GL15" s="1"/>
      <c r="GM15" s="1"/>
      <c r="GN15" s="1"/>
      <c r="GO15" s="1"/>
      <c r="GP15" s="1"/>
      <c r="GQ15" s="1"/>
      <c r="GR15" s="1"/>
      <c r="GS15" s="1"/>
      <c r="GT15" s="1"/>
      <c r="GU15" s="1"/>
      <c r="GV15" s="1"/>
      <c r="GW15" s="1"/>
      <c r="GX15" s="1"/>
      <c r="GY15" s="1"/>
      <c r="GZ15" s="1"/>
      <c r="HA15" s="1"/>
      <c r="HB15" s="1"/>
      <c r="HC15" s="1"/>
      <c r="HD15" s="1"/>
      <c r="HE15" s="1"/>
      <c r="HF15" s="1"/>
      <c r="HG15" s="1"/>
      <c r="HH15" s="1"/>
      <c r="HI15" s="1"/>
      <c r="HJ15" s="1"/>
      <c r="HK15" s="1"/>
      <c r="HL15" s="1"/>
      <c r="HM15" s="1"/>
      <c r="HN15" s="1"/>
      <c r="HO15" s="1"/>
      <c r="HP15" s="1"/>
      <c r="HQ15" s="1"/>
      <c r="HR15" s="1"/>
      <c r="HS15" s="1"/>
      <c r="HT15" s="1"/>
      <c r="HU15" s="1"/>
      <c r="HV15" s="1"/>
      <c r="HW15" s="1"/>
      <c r="HX15" s="1"/>
      <c r="HY15" s="1"/>
      <c r="HZ15" s="1"/>
      <c r="IA15" s="1"/>
      <c r="IB15" s="1"/>
      <c r="IC15" s="1"/>
      <c r="ID15" s="1"/>
      <c r="IE15" s="1"/>
      <c r="IF15" s="1"/>
      <c r="IG15" s="1"/>
      <c r="IH15" s="1"/>
      <c r="II15" s="1"/>
      <c r="IJ15" s="1"/>
      <c r="IK15" s="1"/>
      <c r="IL15" s="1"/>
      <c r="IM15" s="1"/>
      <c r="IN15" s="1"/>
      <c r="IO15" s="1"/>
      <c r="IP15" s="1"/>
      <c r="IQ15" s="1"/>
      <c r="IR15" s="1"/>
      <c r="IS15" s="1"/>
      <c r="IT15" s="1"/>
      <c r="IU15" s="1"/>
      <c r="IV15" s="1"/>
      <c r="IW15" s="1"/>
      <c r="IX15" s="1"/>
      <c r="IY15" s="1" t="s">
        <v>49</v>
      </c>
      <c r="IZ15" s="1" t="s">
        <v>49</v>
      </c>
      <c r="JA15" s="1" t="s">
        <v>49</v>
      </c>
      <c r="JB15" s="1" t="s">
        <v>49</v>
      </c>
      <c r="JC15" s="1" t="s">
        <v>49</v>
      </c>
      <c r="JD15" s="1"/>
      <c r="JE15" s="1"/>
      <c r="JF15" s="1"/>
      <c r="JG15" s="1"/>
      <c r="JH15" s="1"/>
      <c r="JI15" s="1"/>
      <c r="JJ15" s="1"/>
      <c r="JK15" s="1"/>
      <c r="JL15" s="1"/>
      <c r="JM15" s="1"/>
      <c r="JN15" s="1"/>
      <c r="JO15" s="1"/>
      <c r="JP15" s="1"/>
      <c r="JQ15" s="1"/>
      <c r="JR15" s="1"/>
      <c r="JS15" s="1"/>
      <c r="JT15" s="1"/>
      <c r="JU15" s="1"/>
      <c r="JV15" s="1"/>
      <c r="JW15" s="1"/>
      <c r="JX15" s="1"/>
      <c r="JY15" s="1"/>
      <c r="JZ15" s="1"/>
      <c r="KA15" s="1"/>
      <c r="KB15" s="1"/>
      <c r="KC15" s="1"/>
      <c r="KD15" s="1"/>
      <c r="KE15" s="1"/>
      <c r="KF15" s="1"/>
      <c r="KG15" s="1"/>
      <c r="KH15" s="1"/>
      <c r="KI15" s="1"/>
      <c r="KJ15" s="1"/>
      <c r="KK15" s="1"/>
      <c r="KL15" s="1"/>
      <c r="KM15" s="1"/>
      <c r="KN15" s="1"/>
      <c r="KO15" s="1"/>
      <c r="KP15" s="1"/>
      <c r="KQ15" s="1"/>
      <c r="KR15" s="1"/>
      <c r="KS15" s="1"/>
      <c r="KT15" s="1"/>
      <c r="KU15" s="1"/>
      <c r="KV15" s="1"/>
      <c r="KW15" s="1"/>
      <c r="KX15" s="1"/>
      <c r="KY15" s="1"/>
      <c r="KZ15" s="1"/>
      <c r="LA15" s="1"/>
      <c r="LB15" s="1"/>
      <c r="LC15" s="1"/>
      <c r="LD15" s="1"/>
      <c r="LE15" s="1"/>
      <c r="LF15" s="1"/>
      <c r="LG15" s="1"/>
      <c r="LH15" s="1"/>
      <c r="LI15" s="1"/>
      <c r="LJ15" s="1"/>
      <c r="LK15" s="1"/>
      <c r="LL15" s="1"/>
      <c r="LM15" s="1"/>
      <c r="LN15" s="1"/>
      <c r="LO15" s="1"/>
      <c r="LP15" s="1"/>
      <c r="LQ15" s="1"/>
      <c r="LR15" s="1"/>
      <c r="LS15" s="1"/>
      <c r="LT15" s="1"/>
      <c r="LU15" s="1"/>
      <c r="LV15" s="1"/>
      <c r="LW15" s="1"/>
      <c r="LX15" s="1"/>
      <c r="LY15" s="1"/>
      <c r="LZ15" s="1"/>
      <c r="MA15" s="1"/>
      <c r="MB15" s="1"/>
      <c r="MC15" s="1"/>
      <c r="MD15" s="1"/>
      <c r="ME15" s="1"/>
      <c r="MF15" s="1"/>
      <c r="MG15" s="1"/>
      <c r="MH15" s="1"/>
      <c r="MI15" s="1"/>
      <c r="MJ15" s="1"/>
      <c r="MK15" s="1"/>
      <c r="ML15" s="1"/>
      <c r="MM15" s="1"/>
      <c r="MN15" s="1"/>
      <c r="MO15" s="1"/>
      <c r="MP15" s="1"/>
      <c r="MQ15" s="1"/>
      <c r="MR15" s="1"/>
      <c r="MS15" s="1"/>
      <c r="MT15" s="1"/>
      <c r="MU15" s="1"/>
      <c r="MV15" s="1"/>
      <c r="MW15" s="1"/>
      <c r="MX15" s="1"/>
      <c r="MY15" s="1"/>
      <c r="MZ15" s="1" t="s">
        <v>37</v>
      </c>
      <c r="NA15" s="1"/>
      <c r="NB15" s="1"/>
      <c r="NC15" s="1"/>
      <c r="ND15" s="1"/>
      <c r="NE15" s="1"/>
      <c r="NF15" s="1"/>
      <c r="NG15" s="1"/>
      <c r="NH15" s="1"/>
      <c r="NI15" s="1"/>
      <c r="NJ15" s="1"/>
      <c r="NK15" s="18">
        <f t="array" aca="1" ref="NK15" ca="1">SUMPRODUCT((OFFSET($A15,0,1,1,372)&lt;&gt;"")*(IF(OFFSET($A15,0,1,1,372)=$NX$16,0.5,IF(OFFSET($A15,0,1,1,372)=$NX$17,0.5,1))*(OFFSET($A$3,0,1,1,372))))</f>
        <v>4</v>
      </c>
      <c r="NL15" s="23">
        <f t="shared" ca="1" si="6"/>
        <v>0</v>
      </c>
      <c r="NM15" s="23">
        <f t="shared" ca="1" si="6"/>
        <v>3</v>
      </c>
      <c r="NN15" s="23">
        <f t="shared" ca="1" si="6"/>
        <v>0</v>
      </c>
      <c r="NO15" s="23">
        <f t="shared" ca="1" si="6"/>
        <v>1</v>
      </c>
      <c r="NP15" s="23">
        <f t="shared" ca="1" si="6"/>
        <v>0</v>
      </c>
      <c r="NQ15" s="23">
        <f t="shared" ca="1" si="6"/>
        <v>0</v>
      </c>
      <c r="NR15" s="23">
        <f t="shared" ca="1" si="6"/>
        <v>0</v>
      </c>
      <c r="NS15" s="23">
        <f t="shared" ca="1" si="6"/>
        <v>0</v>
      </c>
      <c r="NT15" s="23">
        <f t="shared" ca="1" si="6"/>
        <v>0</v>
      </c>
      <c r="NU15" s="23">
        <f t="shared" ca="1" si="6"/>
        <v>0</v>
      </c>
      <c r="NW15" s="16" t="s">
        <v>198</v>
      </c>
      <c r="NX15" s="25" t="s">
        <v>199</v>
      </c>
    </row>
    <row r="16" spans="1:761" x14ac:dyDescent="0.25">
      <c r="A16" s="1" t="s">
        <v>144</v>
      </c>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c r="EG16" s="1"/>
      <c r="EH16" s="1"/>
      <c r="EI16" s="1"/>
      <c r="EJ16" s="1"/>
      <c r="EK16" s="1"/>
      <c r="EL16" s="1"/>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c r="GF16" s="1"/>
      <c r="GG16" s="1"/>
      <c r="GH16" s="1"/>
      <c r="GI16" s="1"/>
      <c r="GJ16" s="1"/>
      <c r="GK16" s="1"/>
      <c r="GL16" s="1"/>
      <c r="GM16" s="1"/>
      <c r="GN16" s="1"/>
      <c r="GO16" s="1"/>
      <c r="GP16" s="1"/>
      <c r="GQ16" s="1"/>
      <c r="GR16" s="1"/>
      <c r="GS16" s="1"/>
      <c r="GT16" s="1"/>
      <c r="GU16" s="1"/>
      <c r="GV16" s="1"/>
      <c r="GW16" s="1"/>
      <c r="GX16" s="1"/>
      <c r="GY16" s="1"/>
      <c r="GZ16" s="1"/>
      <c r="HA16" s="1"/>
      <c r="HB16" s="1"/>
      <c r="HC16" s="1"/>
      <c r="HD16" s="1"/>
      <c r="HE16" s="1"/>
      <c r="HF16" s="1"/>
      <c r="HG16" s="1"/>
      <c r="HH16" s="1"/>
      <c r="HI16" s="1"/>
      <c r="HJ16" s="1"/>
      <c r="HK16" s="1"/>
      <c r="HL16" s="1"/>
      <c r="HM16" s="1"/>
      <c r="HN16" s="1"/>
      <c r="HO16" s="1"/>
      <c r="HP16" s="1"/>
      <c r="HQ16" s="1"/>
      <c r="HR16" s="1"/>
      <c r="HS16" s="1"/>
      <c r="HT16" s="1"/>
      <c r="HU16" s="1"/>
      <c r="HV16" s="1"/>
      <c r="HW16" s="1"/>
      <c r="HX16" s="1"/>
      <c r="HY16" s="1"/>
      <c r="HZ16" s="1"/>
      <c r="IA16" s="1"/>
      <c r="IB16" s="1"/>
      <c r="IC16" s="1"/>
      <c r="ID16" s="1"/>
      <c r="IE16" s="1"/>
      <c r="IF16" s="1"/>
      <c r="IG16" s="1"/>
      <c r="IH16" s="1"/>
      <c r="II16" s="1"/>
      <c r="IJ16" s="1"/>
      <c r="IK16" s="1"/>
      <c r="IL16" s="1"/>
      <c r="IM16" s="1"/>
      <c r="IN16" s="1"/>
      <c r="IO16" s="1"/>
      <c r="IP16" s="1"/>
      <c r="IQ16" s="1"/>
      <c r="IR16" s="1"/>
      <c r="IS16" s="1"/>
      <c r="IT16" s="1"/>
      <c r="IU16" s="1"/>
      <c r="IV16" s="1"/>
      <c r="IW16" s="1"/>
      <c r="IX16" s="1"/>
      <c r="IY16" s="1"/>
      <c r="IZ16" s="1"/>
      <c r="JA16" s="1"/>
      <c r="JB16" s="1"/>
      <c r="JC16" s="1"/>
      <c r="JD16" s="1"/>
      <c r="JE16" s="1"/>
      <c r="JF16" s="1"/>
      <c r="JG16" s="1"/>
      <c r="JH16" s="1"/>
      <c r="JI16" s="1"/>
      <c r="JJ16" s="1"/>
      <c r="JK16" s="1"/>
      <c r="JL16" s="1"/>
      <c r="JM16" s="1"/>
      <c r="JN16" s="1"/>
      <c r="JO16" s="1"/>
      <c r="JP16" s="1"/>
      <c r="JQ16" s="1"/>
      <c r="JR16" s="1"/>
      <c r="JS16" s="1"/>
      <c r="JT16" s="1"/>
      <c r="JU16" s="1"/>
      <c r="JV16" s="1"/>
      <c r="JW16" s="1"/>
      <c r="JX16" s="1"/>
      <c r="JY16" s="1"/>
      <c r="JZ16" s="1"/>
      <c r="KA16" s="1"/>
      <c r="KB16" s="1"/>
      <c r="KC16" s="1"/>
      <c r="KD16" s="1"/>
      <c r="KE16" s="1"/>
      <c r="KF16" s="1"/>
      <c r="KG16" s="1"/>
      <c r="KH16" s="1"/>
      <c r="KI16" s="1"/>
      <c r="KJ16" s="1"/>
      <c r="KK16" s="1"/>
      <c r="KL16" s="1"/>
      <c r="KM16" s="1"/>
      <c r="KN16" s="1"/>
      <c r="KO16" s="1"/>
      <c r="KP16" s="1"/>
      <c r="KQ16" s="1"/>
      <c r="KR16" s="1"/>
      <c r="KS16" s="1"/>
      <c r="KT16" s="1"/>
      <c r="KU16" s="1"/>
      <c r="KV16" s="1"/>
      <c r="KW16" s="1"/>
      <c r="KX16" s="1"/>
      <c r="KY16" s="1"/>
      <c r="KZ16" s="1"/>
      <c r="LA16" s="1"/>
      <c r="LB16" s="1"/>
      <c r="LC16" s="1"/>
      <c r="LD16" s="1"/>
      <c r="LE16" s="1"/>
      <c r="LF16" s="1"/>
      <c r="LG16" s="1"/>
      <c r="LH16" s="1"/>
      <c r="LI16" s="1"/>
      <c r="LJ16" s="1"/>
      <c r="LK16" s="1"/>
      <c r="LL16" s="1"/>
      <c r="LM16" s="1"/>
      <c r="LN16" s="1"/>
      <c r="LO16" s="1"/>
      <c r="LP16" s="1"/>
      <c r="LQ16" s="1"/>
      <c r="LR16" s="1"/>
      <c r="LS16" s="1"/>
      <c r="LT16" s="1"/>
      <c r="LU16" s="1"/>
      <c r="LV16" s="1"/>
      <c r="LW16" s="1"/>
      <c r="LX16" s="1"/>
      <c r="LY16" s="1"/>
      <c r="LZ16" s="1"/>
      <c r="MA16" s="1"/>
      <c r="MB16" s="1"/>
      <c r="MC16" s="1"/>
      <c r="MD16" s="1"/>
      <c r="ME16" s="1"/>
      <c r="MF16" s="1"/>
      <c r="MG16" s="1"/>
      <c r="MH16" s="1"/>
      <c r="MI16" s="1"/>
      <c r="MJ16" s="1"/>
      <c r="MK16" s="1"/>
      <c r="ML16" s="1"/>
      <c r="MM16" s="1"/>
      <c r="MN16" s="1"/>
      <c r="MO16" s="1"/>
      <c r="MP16" s="1"/>
      <c r="MQ16" s="1"/>
      <c r="MR16" s="1"/>
      <c r="MS16" s="1"/>
      <c r="MT16" s="1"/>
      <c r="MU16" s="1"/>
      <c r="MV16" s="1"/>
      <c r="MW16" s="1"/>
      <c r="MX16" s="1"/>
      <c r="MY16" s="1"/>
      <c r="MZ16" s="1" t="s">
        <v>37</v>
      </c>
      <c r="NA16" s="1"/>
      <c r="NB16" s="1"/>
      <c r="NC16" s="1"/>
      <c r="ND16" s="1"/>
      <c r="NE16" s="1"/>
      <c r="NF16" s="1"/>
      <c r="NG16" s="1"/>
      <c r="NH16" s="1"/>
      <c r="NI16" s="1"/>
      <c r="NJ16" s="1"/>
      <c r="NK16" s="18">
        <f t="array" aca="1" ref="NK16" ca="1">SUMPRODUCT((OFFSET($A16,0,1,1,372)&lt;&gt;"")*(IF(OFFSET($A16,0,1,1,372)=$NX$16,0.5,IF(OFFSET($A16,0,1,1,372)=$NX$17,0.5,1))*(OFFSET($A$3,0,1,1,372))))</f>
        <v>1</v>
      </c>
      <c r="NL16" s="23">
        <f t="shared" ca="1" si="6"/>
        <v>0</v>
      </c>
      <c r="NM16" s="23">
        <f t="shared" ca="1" si="6"/>
        <v>0</v>
      </c>
      <c r="NN16" s="23">
        <f t="shared" ca="1" si="6"/>
        <v>0</v>
      </c>
      <c r="NO16" s="23">
        <f t="shared" ca="1" si="6"/>
        <v>1</v>
      </c>
      <c r="NP16" s="23">
        <f t="shared" ca="1" si="6"/>
        <v>0</v>
      </c>
      <c r="NQ16" s="23">
        <f t="shared" ca="1" si="6"/>
        <v>0</v>
      </c>
      <c r="NR16" s="23">
        <f t="shared" ca="1" si="6"/>
        <v>0</v>
      </c>
      <c r="NS16" s="23">
        <f t="shared" ca="1" si="6"/>
        <v>0</v>
      </c>
      <c r="NT16" s="23">
        <f t="shared" ca="1" si="6"/>
        <v>0</v>
      </c>
      <c r="NU16" s="23">
        <f t="shared" ca="1" si="6"/>
        <v>0</v>
      </c>
      <c r="NW16" s="16" t="s">
        <v>42</v>
      </c>
      <c r="NX16" s="25" t="s">
        <v>35</v>
      </c>
    </row>
    <row r="17" spans="1:388" x14ac:dyDescent="0.25">
      <c r="A17" s="1" t="s">
        <v>145</v>
      </c>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c r="EG17" s="1"/>
      <c r="EH17" s="1"/>
      <c r="EI17" s="1"/>
      <c r="EJ17" s="1"/>
      <c r="EK17" s="1"/>
      <c r="EL17" s="1"/>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c r="GF17" s="1"/>
      <c r="GG17" s="1"/>
      <c r="GH17" s="1"/>
      <c r="GI17" s="1"/>
      <c r="GJ17" s="1"/>
      <c r="GK17" s="1"/>
      <c r="GL17" s="1"/>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1"/>
      <c r="HO17" s="1"/>
      <c r="HP17" s="1"/>
      <c r="HQ17" s="1"/>
      <c r="HR17" s="1"/>
      <c r="HS17" s="1"/>
      <c r="HT17" s="1"/>
      <c r="HU17" s="1"/>
      <c r="HV17" s="1"/>
      <c r="HW17" s="1"/>
      <c r="HX17" s="1"/>
      <c r="HY17" s="1"/>
      <c r="HZ17" s="1"/>
      <c r="IA17" s="1"/>
      <c r="IB17" s="1"/>
      <c r="IC17" s="1"/>
      <c r="ID17" s="1"/>
      <c r="IE17" s="1"/>
      <c r="IF17" s="1"/>
      <c r="IG17" s="1"/>
      <c r="IH17" s="1"/>
      <c r="II17" s="1"/>
      <c r="IJ17" s="1"/>
      <c r="IK17" s="1"/>
      <c r="IL17" s="1"/>
      <c r="IM17" s="1"/>
      <c r="IN17" s="1"/>
      <c r="IO17" s="1"/>
      <c r="IP17" s="1"/>
      <c r="IQ17" s="1"/>
      <c r="IR17" s="1"/>
      <c r="IS17" s="1"/>
      <c r="IT17" s="1"/>
      <c r="IU17" s="1"/>
      <c r="IV17" s="1"/>
      <c r="IW17" s="1"/>
      <c r="IX17" s="1"/>
      <c r="IY17" s="1"/>
      <c r="IZ17" s="1"/>
      <c r="JA17" s="1"/>
      <c r="JB17" s="1"/>
      <c r="JC17" s="1"/>
      <c r="JD17" s="1"/>
      <c r="JE17" s="1"/>
      <c r="JF17" s="1"/>
      <c r="JG17" s="1"/>
      <c r="JH17" s="1"/>
      <c r="JI17" s="1"/>
      <c r="JJ17" s="1"/>
      <c r="JK17" s="1"/>
      <c r="JL17" s="1"/>
      <c r="JM17" s="1"/>
      <c r="JN17" s="1"/>
      <c r="JO17" s="1"/>
      <c r="JP17" s="1"/>
      <c r="JQ17" s="1"/>
      <c r="JR17" s="1"/>
      <c r="JS17" s="1"/>
      <c r="JT17" s="1"/>
      <c r="JU17" s="1"/>
      <c r="JV17" s="1"/>
      <c r="JW17" s="1"/>
      <c r="JX17" s="1"/>
      <c r="JY17" s="1"/>
      <c r="JZ17" s="1"/>
      <c r="KA17" s="1"/>
      <c r="KB17" s="1"/>
      <c r="KC17" s="1"/>
      <c r="KD17" s="1"/>
      <c r="KE17" s="1"/>
      <c r="KF17" s="1"/>
      <c r="KG17" s="1"/>
      <c r="KH17" s="1"/>
      <c r="KI17" s="1"/>
      <c r="KJ17" s="1"/>
      <c r="KK17" s="1"/>
      <c r="KL17" s="1"/>
      <c r="KM17" s="1"/>
      <c r="KN17" s="1"/>
      <c r="KO17" s="1"/>
      <c r="KP17" s="1"/>
      <c r="KQ17" s="1"/>
      <c r="KR17" s="1"/>
      <c r="KS17" s="1"/>
      <c r="KT17" s="1"/>
      <c r="KU17" s="1"/>
      <c r="KV17" s="1"/>
      <c r="KW17" s="1"/>
      <c r="KX17" s="1"/>
      <c r="KY17" s="1"/>
      <c r="KZ17" s="1"/>
      <c r="LA17" s="1"/>
      <c r="LB17" s="1"/>
      <c r="LC17" s="1"/>
      <c r="LD17" s="1"/>
      <c r="LE17" s="1"/>
      <c r="LF17" s="1"/>
      <c r="LG17" s="1"/>
      <c r="LH17" s="1"/>
      <c r="LI17" s="1"/>
      <c r="LJ17" s="1"/>
      <c r="LK17" s="1"/>
      <c r="LL17" s="1"/>
      <c r="LM17" s="1"/>
      <c r="LN17" s="1"/>
      <c r="LO17" s="1"/>
      <c r="LP17" s="1"/>
      <c r="LQ17" s="1"/>
      <c r="LR17" s="1"/>
      <c r="LS17" s="1"/>
      <c r="LT17" s="1"/>
      <c r="LU17" s="1"/>
      <c r="LV17" s="1"/>
      <c r="LW17" s="1"/>
      <c r="LX17" s="1"/>
      <c r="LY17" s="1"/>
      <c r="LZ17" s="1"/>
      <c r="MA17" s="1"/>
      <c r="MB17" s="1"/>
      <c r="MC17" s="1"/>
      <c r="MD17" s="1"/>
      <c r="ME17" s="1"/>
      <c r="MF17" s="1"/>
      <c r="MG17" s="1"/>
      <c r="MH17" s="1"/>
      <c r="MI17" s="1"/>
      <c r="MJ17" s="1"/>
      <c r="MK17" s="1"/>
      <c r="ML17" s="1"/>
      <c r="MM17" s="1"/>
      <c r="MN17" s="1"/>
      <c r="MO17" s="1"/>
      <c r="MP17" s="1"/>
      <c r="MQ17" s="1"/>
      <c r="MR17" s="1"/>
      <c r="MS17" s="1"/>
      <c r="MT17" s="1"/>
      <c r="MU17" s="1"/>
      <c r="MV17" s="1"/>
      <c r="MW17" s="1"/>
      <c r="MX17" s="1"/>
      <c r="MY17" s="1"/>
      <c r="MZ17" s="1" t="s">
        <v>37</v>
      </c>
      <c r="NA17" s="1"/>
      <c r="NB17" s="1"/>
      <c r="NC17" s="1"/>
      <c r="ND17" s="1"/>
      <c r="NE17" s="1"/>
      <c r="NF17" s="1"/>
      <c r="NG17" s="1"/>
      <c r="NH17" s="1"/>
      <c r="NI17" s="1"/>
      <c r="NJ17" s="1"/>
      <c r="NK17" s="18">
        <f t="array" aca="1" ref="NK17" ca="1">SUMPRODUCT((OFFSET($A17,0,1,1,372)&lt;&gt;"")*(IF(OFFSET($A17,0,1,1,372)=$NX$16,0.5,IF(OFFSET($A17,0,1,1,372)=$NX$17,0.5,1))*(OFFSET($A$3,0,1,1,372))))</f>
        <v>1</v>
      </c>
      <c r="NL17" s="23">
        <f t="shared" ca="1" si="6"/>
        <v>0</v>
      </c>
      <c r="NM17" s="23">
        <f t="shared" ca="1" si="6"/>
        <v>0</v>
      </c>
      <c r="NN17" s="23">
        <f t="shared" ca="1" si="6"/>
        <v>0</v>
      </c>
      <c r="NO17" s="23">
        <f t="shared" ca="1" si="6"/>
        <v>1</v>
      </c>
      <c r="NP17" s="23">
        <f t="shared" ca="1" si="6"/>
        <v>0</v>
      </c>
      <c r="NQ17" s="23">
        <f t="shared" ca="1" si="6"/>
        <v>0</v>
      </c>
      <c r="NR17" s="23">
        <f t="shared" ca="1" si="6"/>
        <v>0</v>
      </c>
      <c r="NS17" s="23">
        <f t="shared" ca="1" si="6"/>
        <v>0</v>
      </c>
      <c r="NT17" s="23">
        <f t="shared" ca="1" si="6"/>
        <v>0</v>
      </c>
      <c r="NU17" s="23">
        <f t="shared" ca="1" si="6"/>
        <v>0</v>
      </c>
      <c r="NW17" s="16" t="s">
        <v>43</v>
      </c>
      <c r="NX17" s="25" t="s">
        <v>36</v>
      </c>
    </row>
    <row r="18" spans="1:388" x14ac:dyDescent="0.25">
      <c r="A18" s="1" t="s">
        <v>146</v>
      </c>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c r="GF18" s="1"/>
      <c r="GG18" s="1"/>
      <c r="GH18" s="1"/>
      <c r="GI18" s="1"/>
      <c r="GJ18" s="1"/>
      <c r="GK18" s="1"/>
      <c r="GL18" s="1"/>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1"/>
      <c r="HQ18" s="1"/>
      <c r="HR18" s="1"/>
      <c r="HS18" s="1"/>
      <c r="HT18" s="1"/>
      <c r="HU18" s="1"/>
      <c r="HV18" s="1"/>
      <c r="HW18" s="1"/>
      <c r="HX18" s="1"/>
      <c r="HY18" s="1"/>
      <c r="HZ18" s="1"/>
      <c r="IA18" s="1"/>
      <c r="IB18" s="1"/>
      <c r="IC18" s="1"/>
      <c r="ID18" s="1"/>
      <c r="IE18" s="1"/>
      <c r="IF18" s="1"/>
      <c r="IG18" s="1"/>
      <c r="IH18" s="1"/>
      <c r="II18" s="1"/>
      <c r="IJ18" s="1"/>
      <c r="IK18" s="1"/>
      <c r="IL18" s="1"/>
      <c r="IM18" s="1"/>
      <c r="IN18" s="1"/>
      <c r="IO18" s="1"/>
      <c r="IP18" s="1"/>
      <c r="IQ18" s="1"/>
      <c r="IR18" s="1"/>
      <c r="IS18" s="1"/>
      <c r="IT18" s="1"/>
      <c r="IU18" s="1"/>
      <c r="IV18" s="1"/>
      <c r="IW18" s="1"/>
      <c r="IX18" s="1"/>
      <c r="IY18" s="1"/>
      <c r="IZ18" s="1"/>
      <c r="JA18" s="1"/>
      <c r="JB18" s="1"/>
      <c r="JC18" s="1"/>
      <c r="JD18" s="1"/>
      <c r="JE18" s="1"/>
      <c r="JF18" s="1"/>
      <c r="JG18" s="1"/>
      <c r="JH18" s="1"/>
      <c r="JI18" s="1"/>
      <c r="JJ18" s="1"/>
      <c r="JK18" s="1"/>
      <c r="JL18" s="1"/>
      <c r="JM18" s="1"/>
      <c r="JN18" s="1"/>
      <c r="JO18" s="1"/>
      <c r="JP18" s="1"/>
      <c r="JQ18" s="1"/>
      <c r="JR18" s="1"/>
      <c r="JS18" s="1"/>
      <c r="JT18" s="1"/>
      <c r="JU18" s="1"/>
      <c r="JV18" s="1"/>
      <c r="JW18" s="1"/>
      <c r="JX18" s="1"/>
      <c r="JY18" s="1"/>
      <c r="JZ18" s="1"/>
      <c r="KA18" s="1"/>
      <c r="KB18" s="1"/>
      <c r="KC18" s="1"/>
      <c r="KD18" s="1"/>
      <c r="KE18" s="1"/>
      <c r="KF18" s="1"/>
      <c r="KG18" s="1"/>
      <c r="KH18" s="1"/>
      <c r="KI18" s="1"/>
      <c r="KJ18" s="1"/>
      <c r="KK18" s="1"/>
      <c r="KL18" s="1"/>
      <c r="KM18" s="1"/>
      <c r="KN18" s="1"/>
      <c r="KO18" s="1"/>
      <c r="KP18" s="1"/>
      <c r="KQ18" s="1"/>
      <c r="KR18" s="1"/>
      <c r="KS18" s="1"/>
      <c r="KT18" s="1"/>
      <c r="KU18" s="1"/>
      <c r="KV18" s="1"/>
      <c r="KW18" s="1"/>
      <c r="KX18" s="1"/>
      <c r="KY18" s="1"/>
      <c r="KZ18" s="1"/>
      <c r="LA18" s="1"/>
      <c r="LB18" s="1"/>
      <c r="LC18" s="1"/>
      <c r="LD18" s="1"/>
      <c r="LE18" s="1"/>
      <c r="LF18" s="1"/>
      <c r="LG18" s="1"/>
      <c r="LH18" s="1"/>
      <c r="LI18" s="1"/>
      <c r="LJ18" s="1"/>
      <c r="LK18" s="1"/>
      <c r="LL18" s="1"/>
      <c r="LM18" s="1"/>
      <c r="LN18" s="1"/>
      <c r="LO18" s="1"/>
      <c r="LP18" s="1"/>
      <c r="LQ18" s="1"/>
      <c r="LR18" s="1"/>
      <c r="LS18" s="1"/>
      <c r="LT18" s="1"/>
      <c r="LU18" s="1"/>
      <c r="LV18" s="1"/>
      <c r="LW18" s="1"/>
      <c r="LX18" s="1"/>
      <c r="LY18" s="1"/>
      <c r="LZ18" s="1"/>
      <c r="MA18" s="1"/>
      <c r="MB18" s="1"/>
      <c r="MC18" s="1"/>
      <c r="MD18" s="1"/>
      <c r="ME18" s="1"/>
      <c r="MF18" s="1"/>
      <c r="MG18" s="1"/>
      <c r="MH18" s="1"/>
      <c r="MI18" s="1"/>
      <c r="MJ18" s="1"/>
      <c r="MK18" s="1"/>
      <c r="ML18" s="1"/>
      <c r="MM18" s="1"/>
      <c r="MN18" s="1"/>
      <c r="MO18" s="1"/>
      <c r="MP18" s="1"/>
      <c r="MQ18" s="1"/>
      <c r="MR18" s="1"/>
      <c r="MS18" s="1"/>
      <c r="MT18" s="1"/>
      <c r="MU18" s="1"/>
      <c r="MV18" s="1"/>
      <c r="MW18" s="1"/>
      <c r="MX18" s="1"/>
      <c r="MY18" s="1"/>
      <c r="MZ18" s="1" t="s">
        <v>37</v>
      </c>
      <c r="NA18" s="1"/>
      <c r="NB18" s="1"/>
      <c r="NC18" s="1"/>
      <c r="ND18" s="1"/>
      <c r="NE18" s="1"/>
      <c r="NF18" s="1"/>
      <c r="NG18" s="1"/>
      <c r="NH18" s="1"/>
      <c r="NI18" s="1"/>
      <c r="NJ18" s="1"/>
      <c r="NK18" s="18">
        <f t="array" aca="1" ref="NK18" ca="1">SUMPRODUCT((OFFSET($A18,0,1,1,372)&lt;&gt;"")*(IF(OFFSET($A18,0,1,1,372)=$NX$16,0.5,IF(OFFSET($A18,0,1,1,372)=$NX$17,0.5,1))*(OFFSET($A$3,0,1,1,372))))</f>
        <v>1</v>
      </c>
      <c r="NL18" s="23">
        <f t="shared" ref="NL18:NU26" ca="1" si="7">SUMPRODUCT((OFFSET($A18,0,1,1,372)&lt;&gt;"")*(OFFSET($A$3,0,1,1,372))*((OFFSET($A18,0,1,1,372))=NL$5))</f>
        <v>0</v>
      </c>
      <c r="NM18" s="23">
        <f t="shared" ca="1" si="7"/>
        <v>0</v>
      </c>
      <c r="NN18" s="23">
        <f t="shared" ca="1" si="7"/>
        <v>0</v>
      </c>
      <c r="NO18" s="23">
        <f t="shared" ca="1" si="7"/>
        <v>1</v>
      </c>
      <c r="NP18" s="23">
        <f t="shared" ca="1" si="7"/>
        <v>0</v>
      </c>
      <c r="NQ18" s="23">
        <f t="shared" ca="1" si="7"/>
        <v>0</v>
      </c>
      <c r="NR18" s="23">
        <f t="shared" ca="1" si="7"/>
        <v>0</v>
      </c>
      <c r="NS18" s="23">
        <f t="shared" ca="1" si="7"/>
        <v>0</v>
      </c>
      <c r="NT18" s="23">
        <f t="shared" ca="1" si="7"/>
        <v>0</v>
      </c>
      <c r="NU18" s="23">
        <f t="shared" ca="1" si="7"/>
        <v>0</v>
      </c>
    </row>
    <row r="19" spans="1:388" x14ac:dyDescent="0.25">
      <c r="A19" s="1" t="s">
        <v>147</v>
      </c>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c r="GF19" s="1"/>
      <c r="GG19" s="1"/>
      <c r="GH19" s="1"/>
      <c r="GI19" s="1"/>
      <c r="GJ19" s="1"/>
      <c r="GK19" s="1"/>
      <c r="GL19" s="1"/>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1"/>
      <c r="HQ19" s="1"/>
      <c r="HR19" s="1"/>
      <c r="HS19" s="1"/>
      <c r="HT19" s="1"/>
      <c r="HU19" s="1"/>
      <c r="HV19" s="1"/>
      <c r="HW19" s="1"/>
      <c r="HX19" s="1"/>
      <c r="HY19" s="1"/>
      <c r="HZ19" s="1"/>
      <c r="IA19" s="1"/>
      <c r="IB19" s="1"/>
      <c r="IC19" s="1"/>
      <c r="ID19" s="1"/>
      <c r="IE19" s="1"/>
      <c r="IF19" s="1"/>
      <c r="IG19" s="1"/>
      <c r="IH19" s="1"/>
      <c r="II19" s="1"/>
      <c r="IJ19" s="1"/>
      <c r="IK19" s="1"/>
      <c r="IL19" s="1"/>
      <c r="IM19" s="1"/>
      <c r="IN19" s="1"/>
      <c r="IO19" s="1"/>
      <c r="IP19" s="1"/>
      <c r="IQ19" s="1"/>
      <c r="IR19" s="1"/>
      <c r="IS19" s="1"/>
      <c r="IT19" s="1"/>
      <c r="IU19" s="1"/>
      <c r="IV19" s="1"/>
      <c r="IW19" s="1"/>
      <c r="IX19" s="1"/>
      <c r="IY19" s="1"/>
      <c r="IZ19" s="1"/>
      <c r="JA19" s="1"/>
      <c r="JB19" s="1"/>
      <c r="JC19" s="1"/>
      <c r="JD19" s="1"/>
      <c r="JE19" s="1"/>
      <c r="JF19" s="1"/>
      <c r="JG19" s="1"/>
      <c r="JH19" s="1"/>
      <c r="JI19" s="1"/>
      <c r="JJ19" s="1"/>
      <c r="JK19" s="1"/>
      <c r="JL19" s="1"/>
      <c r="JM19" s="1"/>
      <c r="JN19" s="1"/>
      <c r="JO19" s="1"/>
      <c r="JP19" s="1"/>
      <c r="JQ19" s="1"/>
      <c r="JR19" s="1"/>
      <c r="JS19" s="1"/>
      <c r="JT19" s="1"/>
      <c r="JU19" s="1"/>
      <c r="JV19" s="1"/>
      <c r="JW19" s="1"/>
      <c r="JX19" s="1"/>
      <c r="JY19" s="1"/>
      <c r="JZ19" s="1"/>
      <c r="KA19" s="1"/>
      <c r="KB19" s="1"/>
      <c r="KC19" s="1"/>
      <c r="KD19" s="1"/>
      <c r="KE19" s="1"/>
      <c r="KF19" s="1"/>
      <c r="KG19" s="1"/>
      <c r="KH19" s="1"/>
      <c r="KI19" s="1"/>
      <c r="KJ19" s="1"/>
      <c r="KK19" s="1"/>
      <c r="KL19" s="1"/>
      <c r="KM19" s="1"/>
      <c r="KN19" s="1"/>
      <c r="KO19" s="1"/>
      <c r="KP19" s="1"/>
      <c r="KQ19" s="1"/>
      <c r="KR19" s="1"/>
      <c r="KS19" s="1"/>
      <c r="KT19" s="1"/>
      <c r="KU19" s="1"/>
      <c r="KV19" s="1"/>
      <c r="KW19" s="1"/>
      <c r="KX19" s="1"/>
      <c r="KY19" s="1"/>
      <c r="KZ19" s="1"/>
      <c r="LA19" s="1"/>
      <c r="LB19" s="1"/>
      <c r="LC19" s="1"/>
      <c r="LD19" s="1"/>
      <c r="LE19" s="1"/>
      <c r="LF19" s="1"/>
      <c r="LG19" s="1"/>
      <c r="LH19" s="1"/>
      <c r="LI19" s="1"/>
      <c r="LJ19" s="1"/>
      <c r="LK19" s="1"/>
      <c r="LL19" s="1"/>
      <c r="LM19" s="1"/>
      <c r="LN19" s="1"/>
      <c r="LO19" s="1"/>
      <c r="LP19" s="1"/>
      <c r="LQ19" s="1"/>
      <c r="LR19" s="1"/>
      <c r="LS19" s="1"/>
      <c r="LT19" s="1"/>
      <c r="LU19" s="1"/>
      <c r="LV19" s="1"/>
      <c r="LW19" s="1"/>
      <c r="LX19" s="1"/>
      <c r="LY19" s="1"/>
      <c r="LZ19" s="1"/>
      <c r="MA19" s="1"/>
      <c r="MB19" s="1"/>
      <c r="MC19" s="1"/>
      <c r="MD19" s="1"/>
      <c r="ME19" s="1"/>
      <c r="MF19" s="1"/>
      <c r="MG19" s="1"/>
      <c r="MH19" s="1"/>
      <c r="MI19" s="1"/>
      <c r="MJ19" s="1"/>
      <c r="MK19" s="1"/>
      <c r="ML19" s="1"/>
      <c r="MM19" s="1"/>
      <c r="MN19" s="1"/>
      <c r="MO19" s="1"/>
      <c r="MP19" s="1"/>
      <c r="MQ19" s="1"/>
      <c r="MR19" s="1"/>
      <c r="MS19" s="1"/>
      <c r="MT19" s="1"/>
      <c r="MU19" s="1"/>
      <c r="MV19" s="1"/>
      <c r="MW19" s="1"/>
      <c r="MX19" s="1"/>
      <c r="MY19" s="1"/>
      <c r="MZ19" s="1" t="s">
        <v>37</v>
      </c>
      <c r="NA19" s="1"/>
      <c r="NB19" s="1"/>
      <c r="NC19" s="1"/>
      <c r="ND19" s="1"/>
      <c r="NE19" s="1"/>
      <c r="NF19" s="1"/>
      <c r="NG19" s="1"/>
      <c r="NH19" s="1"/>
      <c r="NI19" s="1"/>
      <c r="NJ19" s="1"/>
      <c r="NK19" s="18">
        <f t="array" aca="1" ref="NK19" ca="1">SUMPRODUCT((OFFSET($A19,0,1,1,372)&lt;&gt;"")*(IF(OFFSET($A19,0,1,1,372)=$NX$16,0.5,IF(OFFSET($A19,0,1,1,372)=$NX$17,0.5,1))*(OFFSET($A$3,0,1,1,372))))</f>
        <v>1</v>
      </c>
      <c r="NL19" s="23">
        <f t="shared" ca="1" si="7"/>
        <v>0</v>
      </c>
      <c r="NM19" s="23">
        <f t="shared" ca="1" si="7"/>
        <v>0</v>
      </c>
      <c r="NN19" s="23">
        <f t="shared" ca="1" si="7"/>
        <v>0</v>
      </c>
      <c r="NO19" s="23">
        <f t="shared" ca="1" si="7"/>
        <v>1</v>
      </c>
      <c r="NP19" s="23">
        <f t="shared" ca="1" si="7"/>
        <v>0</v>
      </c>
      <c r="NQ19" s="23">
        <f t="shared" ca="1" si="7"/>
        <v>0</v>
      </c>
      <c r="NR19" s="23">
        <f t="shared" ca="1" si="7"/>
        <v>0</v>
      </c>
      <c r="NS19" s="23">
        <f t="shared" ca="1" si="7"/>
        <v>0</v>
      </c>
      <c r="NT19" s="23">
        <f t="shared" ca="1" si="7"/>
        <v>0</v>
      </c>
      <c r="NU19" s="23">
        <f t="shared" ca="1" si="7"/>
        <v>0</v>
      </c>
    </row>
    <row r="20" spans="1:388" x14ac:dyDescent="0.25">
      <c r="A20" s="1" t="s">
        <v>148</v>
      </c>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c r="GF20" s="1"/>
      <c r="GG20" s="1"/>
      <c r="GH20" s="1"/>
      <c r="GI20" s="1"/>
      <c r="GJ20" s="1"/>
      <c r="GK20" s="1"/>
      <c r="GL20" s="1"/>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1"/>
      <c r="HQ20" s="1"/>
      <c r="HR20" s="1"/>
      <c r="HS20" s="1"/>
      <c r="HT20" s="1"/>
      <c r="HU20" s="1"/>
      <c r="HV20" s="1"/>
      <c r="HW20" s="1"/>
      <c r="HX20" s="1"/>
      <c r="HY20" s="1"/>
      <c r="HZ20" s="1"/>
      <c r="IA20" s="1"/>
      <c r="IB20" s="1"/>
      <c r="IC20" s="1"/>
      <c r="ID20" s="1"/>
      <c r="IE20" s="1"/>
      <c r="IF20" s="1"/>
      <c r="IG20" s="1"/>
      <c r="IH20" s="1"/>
      <c r="II20" s="1"/>
      <c r="IJ20" s="1"/>
      <c r="IK20" s="1"/>
      <c r="IL20" s="1"/>
      <c r="IM20" s="1"/>
      <c r="IN20" s="1"/>
      <c r="IO20" s="1"/>
      <c r="IP20" s="1"/>
      <c r="IQ20" s="1"/>
      <c r="IR20" s="1"/>
      <c r="IS20" s="1"/>
      <c r="IT20" s="1"/>
      <c r="IU20" s="1"/>
      <c r="IV20" s="1"/>
      <c r="IW20" s="1"/>
      <c r="IX20" s="1"/>
      <c r="IY20" s="1"/>
      <c r="IZ20" s="1"/>
      <c r="JA20" s="1"/>
      <c r="JB20" s="1"/>
      <c r="JC20" s="1"/>
      <c r="JD20" s="1"/>
      <c r="JE20" s="1"/>
      <c r="JF20" s="1"/>
      <c r="JG20" s="1"/>
      <c r="JH20" s="1"/>
      <c r="JI20" s="1"/>
      <c r="JJ20" s="1"/>
      <c r="JK20" s="1"/>
      <c r="JL20" s="1"/>
      <c r="JM20" s="1"/>
      <c r="JN20" s="1"/>
      <c r="JO20" s="1"/>
      <c r="JP20" s="1"/>
      <c r="JQ20" s="1"/>
      <c r="JR20" s="1"/>
      <c r="JS20" s="1"/>
      <c r="JT20" s="1"/>
      <c r="JU20" s="1"/>
      <c r="JV20" s="1"/>
      <c r="JW20" s="1"/>
      <c r="JX20" s="1"/>
      <c r="JY20" s="1"/>
      <c r="JZ20" s="1"/>
      <c r="KA20" s="1"/>
      <c r="KB20" s="1"/>
      <c r="KC20" s="1"/>
      <c r="KD20" s="1"/>
      <c r="KE20" s="1"/>
      <c r="KF20" s="1"/>
      <c r="KG20" s="1"/>
      <c r="KH20" s="1"/>
      <c r="KI20" s="1"/>
      <c r="KJ20" s="1"/>
      <c r="KK20" s="1"/>
      <c r="KL20" s="1"/>
      <c r="KM20" s="1"/>
      <c r="KN20" s="1"/>
      <c r="KO20" s="1"/>
      <c r="KP20" s="1"/>
      <c r="KQ20" s="1"/>
      <c r="KR20" s="1"/>
      <c r="KS20" s="1"/>
      <c r="KT20" s="1"/>
      <c r="KU20" s="1"/>
      <c r="KV20" s="1"/>
      <c r="KW20" s="1"/>
      <c r="KX20" s="1"/>
      <c r="KY20" s="1"/>
      <c r="KZ20" s="1"/>
      <c r="LA20" s="1"/>
      <c r="LB20" s="1"/>
      <c r="LC20" s="1"/>
      <c r="LD20" s="1"/>
      <c r="LE20" s="1"/>
      <c r="LF20" s="1"/>
      <c r="LG20" s="1"/>
      <c r="LH20" s="1"/>
      <c r="LI20" s="1"/>
      <c r="LJ20" s="1"/>
      <c r="LK20" s="1"/>
      <c r="LL20" s="1"/>
      <c r="LM20" s="1"/>
      <c r="LN20" s="1"/>
      <c r="LO20" s="1"/>
      <c r="LP20" s="1"/>
      <c r="LQ20" s="1"/>
      <c r="LR20" s="1"/>
      <c r="LS20" s="1"/>
      <c r="LT20" s="1"/>
      <c r="LU20" s="1"/>
      <c r="LV20" s="1"/>
      <c r="LW20" s="1"/>
      <c r="LX20" s="1"/>
      <c r="LY20" s="1"/>
      <c r="LZ20" s="1"/>
      <c r="MA20" s="1"/>
      <c r="MB20" s="1"/>
      <c r="MC20" s="1"/>
      <c r="MD20" s="1"/>
      <c r="ME20" s="1"/>
      <c r="MF20" s="1"/>
      <c r="MG20" s="1"/>
      <c r="MH20" s="1"/>
      <c r="MI20" s="1"/>
      <c r="MJ20" s="1"/>
      <c r="MK20" s="1"/>
      <c r="ML20" s="1"/>
      <c r="MM20" s="1"/>
      <c r="MN20" s="1"/>
      <c r="MO20" s="1"/>
      <c r="MP20" s="1"/>
      <c r="MQ20" s="1"/>
      <c r="MR20" s="1"/>
      <c r="MS20" s="1"/>
      <c r="MT20" s="1"/>
      <c r="MU20" s="1"/>
      <c r="MV20" s="1"/>
      <c r="MW20" s="1"/>
      <c r="MX20" s="1"/>
      <c r="MY20" s="1"/>
      <c r="MZ20" s="1" t="s">
        <v>37</v>
      </c>
      <c r="NA20" s="1"/>
      <c r="NB20" s="1"/>
      <c r="NC20" s="1"/>
      <c r="ND20" s="1"/>
      <c r="NE20" s="1"/>
      <c r="NF20" s="1"/>
      <c r="NG20" s="1"/>
      <c r="NH20" s="1"/>
      <c r="NI20" s="1"/>
      <c r="NJ20" s="1"/>
      <c r="NK20" s="18">
        <f t="array" aca="1" ref="NK20" ca="1">SUMPRODUCT((OFFSET($A20,0,1,1,372)&lt;&gt;"")*(IF(OFFSET($A20,0,1,1,372)=$NX$16,0.5,IF(OFFSET($A20,0,1,1,372)=$NX$17,0.5,1))*(OFFSET($A$3,0,1,1,372))))</f>
        <v>1</v>
      </c>
      <c r="NL20" s="23">
        <f t="shared" ca="1" si="7"/>
        <v>0</v>
      </c>
      <c r="NM20" s="23">
        <f t="shared" ca="1" si="7"/>
        <v>0</v>
      </c>
      <c r="NN20" s="23">
        <f t="shared" ca="1" si="7"/>
        <v>0</v>
      </c>
      <c r="NO20" s="23">
        <f t="shared" ca="1" si="7"/>
        <v>1</v>
      </c>
      <c r="NP20" s="23">
        <f t="shared" ca="1" si="7"/>
        <v>0</v>
      </c>
      <c r="NQ20" s="23">
        <f t="shared" ca="1" si="7"/>
        <v>0</v>
      </c>
      <c r="NR20" s="23">
        <f t="shared" ca="1" si="7"/>
        <v>0</v>
      </c>
      <c r="NS20" s="23">
        <f t="shared" ca="1" si="7"/>
        <v>0</v>
      </c>
      <c r="NT20" s="23">
        <f t="shared" ca="1" si="7"/>
        <v>0</v>
      </c>
      <c r="NU20" s="23">
        <f t="shared" ca="1" si="7"/>
        <v>0</v>
      </c>
      <c r="NW20" s="15" t="s">
        <v>30</v>
      </c>
      <c r="NX20" s="15"/>
    </row>
    <row r="21" spans="1:388" x14ac:dyDescent="0.25">
      <c r="A21" s="1" t="s">
        <v>149</v>
      </c>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c r="GF21" s="1"/>
      <c r="GG21" s="1"/>
      <c r="GH21" s="1"/>
      <c r="GI21" s="1"/>
      <c r="GJ21" s="1"/>
      <c r="GK21" s="1"/>
      <c r="GL21" s="1"/>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1"/>
      <c r="HQ21" s="1"/>
      <c r="HR21" s="1"/>
      <c r="HS21" s="1"/>
      <c r="HT21" s="1"/>
      <c r="HU21" s="1"/>
      <c r="HV21" s="1"/>
      <c r="HW21" s="1"/>
      <c r="HX21" s="1"/>
      <c r="HY21" s="1"/>
      <c r="HZ21" s="1"/>
      <c r="IA21" s="1"/>
      <c r="IB21" s="1"/>
      <c r="IC21" s="1"/>
      <c r="ID21" s="1"/>
      <c r="IE21" s="1"/>
      <c r="IF21" s="1"/>
      <c r="IG21" s="1"/>
      <c r="IH21" s="1"/>
      <c r="II21" s="1"/>
      <c r="IJ21" s="1"/>
      <c r="IK21" s="1"/>
      <c r="IL21" s="1"/>
      <c r="IM21" s="1"/>
      <c r="IN21" s="1"/>
      <c r="IO21" s="1"/>
      <c r="IP21" s="1"/>
      <c r="IQ21" s="1"/>
      <c r="IR21" s="1"/>
      <c r="IS21" s="1"/>
      <c r="IT21" s="1"/>
      <c r="IU21" s="1"/>
      <c r="IV21" s="1"/>
      <c r="IW21" s="1"/>
      <c r="IX21" s="1"/>
      <c r="IY21" s="1"/>
      <c r="IZ21" s="1"/>
      <c r="JA21" s="1"/>
      <c r="JB21" s="1"/>
      <c r="JC21" s="1"/>
      <c r="JD21" s="1"/>
      <c r="JE21" s="1"/>
      <c r="JF21" s="1"/>
      <c r="JG21" s="1"/>
      <c r="JH21" s="1"/>
      <c r="JI21" s="1"/>
      <c r="JJ21" s="1"/>
      <c r="JK21" s="1"/>
      <c r="JL21" s="1"/>
      <c r="JM21" s="1"/>
      <c r="JN21" s="1"/>
      <c r="JO21" s="1"/>
      <c r="JP21" s="1"/>
      <c r="JQ21" s="1"/>
      <c r="JR21" s="1"/>
      <c r="JS21" s="1"/>
      <c r="JT21" s="1"/>
      <c r="JU21" s="1"/>
      <c r="JV21" s="1"/>
      <c r="JW21" s="1"/>
      <c r="JX21" s="1"/>
      <c r="JY21" s="1"/>
      <c r="JZ21" s="1"/>
      <c r="KA21" s="1"/>
      <c r="KB21" s="1"/>
      <c r="KC21" s="1"/>
      <c r="KD21" s="1"/>
      <c r="KE21" s="1"/>
      <c r="KF21" s="1"/>
      <c r="KG21" s="1"/>
      <c r="KH21" s="1"/>
      <c r="KI21" s="1"/>
      <c r="KJ21" s="1"/>
      <c r="KK21" s="1"/>
      <c r="KL21" s="1"/>
      <c r="KM21" s="1"/>
      <c r="KN21" s="1"/>
      <c r="KO21" s="1"/>
      <c r="KP21" s="1"/>
      <c r="KQ21" s="1"/>
      <c r="KR21" s="1"/>
      <c r="KS21" s="1"/>
      <c r="KT21" s="1"/>
      <c r="KU21" s="1"/>
      <c r="KV21" s="1"/>
      <c r="KW21" s="1"/>
      <c r="KX21" s="1"/>
      <c r="KY21" s="1"/>
      <c r="KZ21" s="1"/>
      <c r="LA21" s="1"/>
      <c r="LB21" s="1"/>
      <c r="LC21" s="1"/>
      <c r="LD21" s="1"/>
      <c r="LE21" s="1"/>
      <c r="LF21" s="1"/>
      <c r="LG21" s="1"/>
      <c r="LH21" s="1"/>
      <c r="LI21" s="1"/>
      <c r="LJ21" s="1"/>
      <c r="LK21" s="1"/>
      <c r="LL21" s="1"/>
      <c r="LM21" s="1"/>
      <c r="LN21" s="1"/>
      <c r="LO21" s="1"/>
      <c r="LP21" s="1"/>
      <c r="LQ21" s="1"/>
      <c r="LR21" s="1"/>
      <c r="LS21" s="1"/>
      <c r="LT21" s="1"/>
      <c r="LU21" s="1"/>
      <c r="LV21" s="1"/>
      <c r="LW21" s="1"/>
      <c r="LX21" s="1"/>
      <c r="LY21" s="1"/>
      <c r="LZ21" s="1"/>
      <c r="MA21" s="1"/>
      <c r="MB21" s="1"/>
      <c r="MC21" s="1"/>
      <c r="MD21" s="1"/>
      <c r="ME21" s="1"/>
      <c r="MF21" s="1"/>
      <c r="MG21" s="1"/>
      <c r="MH21" s="1"/>
      <c r="MI21" s="1"/>
      <c r="MJ21" s="1"/>
      <c r="MK21" s="1"/>
      <c r="ML21" s="1"/>
      <c r="MM21" s="1"/>
      <c r="MN21" s="1"/>
      <c r="MO21" s="1"/>
      <c r="MP21" s="1"/>
      <c r="MQ21" s="1"/>
      <c r="MR21" s="1"/>
      <c r="MS21" s="1"/>
      <c r="MT21" s="1"/>
      <c r="MU21" s="1"/>
      <c r="MV21" s="1"/>
      <c r="MW21" s="1"/>
      <c r="MX21" s="1"/>
      <c r="MY21" s="1"/>
      <c r="MZ21" s="1" t="s">
        <v>37</v>
      </c>
      <c r="NA21" s="1"/>
      <c r="NB21" s="1"/>
      <c r="NC21" s="1"/>
      <c r="ND21" s="1"/>
      <c r="NE21" s="1"/>
      <c r="NF21" s="1"/>
      <c r="NG21" s="1"/>
      <c r="NH21" s="1"/>
      <c r="NI21" s="1"/>
      <c r="NJ21" s="1"/>
      <c r="NK21" s="18">
        <f t="array" aca="1" ref="NK21" ca="1">SUMPRODUCT((OFFSET($A21,0,1,1,372)&lt;&gt;"")*(IF(OFFSET($A21,0,1,1,372)=$NX$16,0.5,IF(OFFSET($A21,0,1,1,372)=$NX$17,0.5,1))*(OFFSET($A$3,0,1,1,372))))</f>
        <v>1</v>
      </c>
      <c r="NL21" s="23">
        <f t="shared" ca="1" si="7"/>
        <v>0</v>
      </c>
      <c r="NM21" s="23">
        <f t="shared" ca="1" si="7"/>
        <v>0</v>
      </c>
      <c r="NN21" s="23">
        <f t="shared" ca="1" si="7"/>
        <v>0</v>
      </c>
      <c r="NO21" s="23">
        <f t="shared" ca="1" si="7"/>
        <v>1</v>
      </c>
      <c r="NP21" s="23">
        <f t="shared" ca="1" si="7"/>
        <v>0</v>
      </c>
      <c r="NQ21" s="23">
        <f t="shared" ca="1" si="7"/>
        <v>0</v>
      </c>
      <c r="NR21" s="23">
        <f t="shared" ca="1" si="7"/>
        <v>0</v>
      </c>
      <c r="NS21" s="23">
        <f t="shared" ca="1" si="7"/>
        <v>0</v>
      </c>
      <c r="NT21" s="23">
        <f t="shared" ca="1" si="7"/>
        <v>0</v>
      </c>
      <c r="NU21" s="23">
        <f t="shared" ca="1" si="7"/>
        <v>0</v>
      </c>
      <c r="NW21" s="14" t="s">
        <v>11</v>
      </c>
      <c r="NX21" s="14" t="s">
        <v>32</v>
      </c>
    </row>
    <row r="22" spans="1:388" x14ac:dyDescent="0.25">
      <c r="A22" s="1" t="s">
        <v>150</v>
      </c>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c r="GF22" s="1"/>
      <c r="GG22" s="1"/>
      <c r="GH22" s="1"/>
      <c r="GI22" s="1"/>
      <c r="GJ22" s="1"/>
      <c r="GK22" s="1"/>
      <c r="GL22" s="1"/>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1"/>
      <c r="HQ22" s="1"/>
      <c r="HR22" s="1"/>
      <c r="HS22" s="1"/>
      <c r="HT22" s="1"/>
      <c r="HU22" s="1"/>
      <c r="HV22" s="1"/>
      <c r="HW22" s="1"/>
      <c r="HX22" s="1"/>
      <c r="HY22" s="1"/>
      <c r="HZ22" s="1"/>
      <c r="IA22" s="1"/>
      <c r="IB22" s="1"/>
      <c r="IC22" s="1"/>
      <c r="ID22" s="1"/>
      <c r="IE22" s="1"/>
      <c r="IF22" s="1"/>
      <c r="IG22" s="1"/>
      <c r="IH22" s="1"/>
      <c r="II22" s="1"/>
      <c r="IJ22" s="1"/>
      <c r="IK22" s="1"/>
      <c r="IL22" s="1"/>
      <c r="IM22" s="1"/>
      <c r="IN22" s="1"/>
      <c r="IO22" s="1"/>
      <c r="IP22" s="1"/>
      <c r="IQ22" s="1"/>
      <c r="IR22" s="1"/>
      <c r="IS22" s="1"/>
      <c r="IT22" s="1"/>
      <c r="IU22" s="1"/>
      <c r="IV22" s="1"/>
      <c r="IW22" s="1"/>
      <c r="IX22" s="1"/>
      <c r="IY22" s="1"/>
      <c r="IZ22" s="1"/>
      <c r="JA22" s="1"/>
      <c r="JB22" s="1"/>
      <c r="JC22" s="1"/>
      <c r="JD22" s="1"/>
      <c r="JE22" s="1"/>
      <c r="JF22" s="1"/>
      <c r="JG22" s="1"/>
      <c r="JH22" s="1"/>
      <c r="JI22" s="1"/>
      <c r="JJ22" s="1"/>
      <c r="JK22" s="1"/>
      <c r="JL22" s="1"/>
      <c r="JM22" s="1"/>
      <c r="JN22" s="1"/>
      <c r="JO22" s="1"/>
      <c r="JP22" s="1"/>
      <c r="JQ22" s="1"/>
      <c r="JR22" s="1"/>
      <c r="JS22" s="1"/>
      <c r="JT22" s="1"/>
      <c r="JU22" s="1"/>
      <c r="JV22" s="1"/>
      <c r="JW22" s="1"/>
      <c r="JX22" s="1"/>
      <c r="JY22" s="1"/>
      <c r="JZ22" s="1"/>
      <c r="KA22" s="1"/>
      <c r="KB22" s="1"/>
      <c r="KC22" s="1"/>
      <c r="KD22" s="1"/>
      <c r="KE22" s="1"/>
      <c r="KF22" s="1"/>
      <c r="KG22" s="1"/>
      <c r="KH22" s="1"/>
      <c r="KI22" s="1"/>
      <c r="KJ22" s="1"/>
      <c r="KK22" s="1"/>
      <c r="KL22" s="1"/>
      <c r="KM22" s="1"/>
      <c r="KN22" s="1"/>
      <c r="KO22" s="1"/>
      <c r="KP22" s="1"/>
      <c r="KQ22" s="1"/>
      <c r="KR22" s="1"/>
      <c r="KS22" s="1"/>
      <c r="KT22" s="1"/>
      <c r="KU22" s="1"/>
      <c r="KV22" s="1"/>
      <c r="KW22" s="1"/>
      <c r="KX22" s="1"/>
      <c r="KY22" s="1"/>
      <c r="KZ22" s="1"/>
      <c r="LA22" s="1"/>
      <c r="LB22" s="1"/>
      <c r="LC22" s="1"/>
      <c r="LD22" s="1"/>
      <c r="LE22" s="1"/>
      <c r="LF22" s="1"/>
      <c r="LG22" s="1"/>
      <c r="LH22" s="1"/>
      <c r="LI22" s="1"/>
      <c r="LJ22" s="1"/>
      <c r="LK22" s="1"/>
      <c r="LL22" s="1"/>
      <c r="LM22" s="1"/>
      <c r="LN22" s="1"/>
      <c r="LO22" s="1"/>
      <c r="LP22" s="1"/>
      <c r="LQ22" s="1"/>
      <c r="LR22" s="1"/>
      <c r="LS22" s="1"/>
      <c r="LT22" s="1"/>
      <c r="LU22" s="1"/>
      <c r="LV22" s="1"/>
      <c r="LW22" s="1"/>
      <c r="LX22" s="1"/>
      <c r="LY22" s="1"/>
      <c r="LZ22" s="1"/>
      <c r="MA22" s="1"/>
      <c r="MB22" s="1"/>
      <c r="MC22" s="1"/>
      <c r="MD22" s="1"/>
      <c r="ME22" s="1"/>
      <c r="MF22" s="1"/>
      <c r="MG22" s="1"/>
      <c r="MH22" s="1"/>
      <c r="MI22" s="1"/>
      <c r="MJ22" s="1"/>
      <c r="MK22" s="1"/>
      <c r="ML22" s="1"/>
      <c r="MM22" s="1"/>
      <c r="MN22" s="1"/>
      <c r="MO22" s="1"/>
      <c r="MP22" s="1"/>
      <c r="MQ22" s="1"/>
      <c r="MR22" s="1"/>
      <c r="MS22" s="1"/>
      <c r="MT22" s="1"/>
      <c r="MU22" s="1"/>
      <c r="MV22" s="1"/>
      <c r="MW22" s="1"/>
      <c r="MX22" s="1"/>
      <c r="MY22" s="1"/>
      <c r="MZ22" s="1" t="s">
        <v>37</v>
      </c>
      <c r="NA22" s="1"/>
      <c r="NB22" s="1"/>
      <c r="NC22" s="1"/>
      <c r="ND22" s="1"/>
      <c r="NE22" s="1"/>
      <c r="NF22" s="1"/>
      <c r="NG22" s="1"/>
      <c r="NH22" s="1"/>
      <c r="NI22" s="1"/>
      <c r="NJ22" s="1"/>
      <c r="NK22" s="18">
        <f t="array" aca="1" ref="NK22" ca="1">SUMPRODUCT((OFFSET($A22,0,1,1,372)&lt;&gt;"")*(IF(OFFSET($A22,0,1,1,372)=$NX$16,0.5,IF(OFFSET($A22,0,1,1,372)=$NX$17,0.5,1))*(OFFSET($A$3,0,1,1,372))))</f>
        <v>1</v>
      </c>
      <c r="NL22" s="23">
        <f t="shared" ca="1" si="7"/>
        <v>0</v>
      </c>
      <c r="NM22" s="23">
        <f t="shared" ca="1" si="7"/>
        <v>0</v>
      </c>
      <c r="NN22" s="23">
        <f t="shared" ca="1" si="7"/>
        <v>0</v>
      </c>
      <c r="NO22" s="23">
        <f t="shared" ca="1" si="7"/>
        <v>1</v>
      </c>
      <c r="NP22" s="23">
        <f t="shared" ca="1" si="7"/>
        <v>0</v>
      </c>
      <c r="NQ22" s="23">
        <f t="shared" ca="1" si="7"/>
        <v>0</v>
      </c>
      <c r="NR22" s="23">
        <f t="shared" ca="1" si="7"/>
        <v>0</v>
      </c>
      <c r="NS22" s="23">
        <f t="shared" ca="1" si="7"/>
        <v>0</v>
      </c>
      <c r="NT22" s="23">
        <f t="shared" ca="1" si="7"/>
        <v>0</v>
      </c>
      <c r="NU22" s="23">
        <f t="shared" ca="1" si="7"/>
        <v>0</v>
      </c>
      <c r="NW22" s="14" t="s">
        <v>12</v>
      </c>
      <c r="NX22" s="14" t="s">
        <v>32</v>
      </c>
    </row>
    <row r="23" spans="1:388" x14ac:dyDescent="0.25">
      <c r="A23" s="1" t="s">
        <v>151</v>
      </c>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c r="GF23" s="1"/>
      <c r="GG23" s="1"/>
      <c r="GH23" s="1"/>
      <c r="GI23" s="1"/>
      <c r="GJ23" s="1"/>
      <c r="GK23" s="1"/>
      <c r="GL23" s="1"/>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1"/>
      <c r="HQ23" s="1"/>
      <c r="HR23" s="1"/>
      <c r="HS23" s="1"/>
      <c r="HT23" s="1"/>
      <c r="HU23" s="1"/>
      <c r="HV23" s="1"/>
      <c r="HW23" s="1"/>
      <c r="HX23" s="1"/>
      <c r="HY23" s="1"/>
      <c r="HZ23" s="1"/>
      <c r="IA23" s="1"/>
      <c r="IB23" s="1"/>
      <c r="IC23" s="1"/>
      <c r="ID23" s="1"/>
      <c r="IE23" s="1"/>
      <c r="IF23" s="1"/>
      <c r="IG23" s="1"/>
      <c r="IH23" s="1"/>
      <c r="II23" s="1"/>
      <c r="IJ23" s="1"/>
      <c r="IK23" s="1"/>
      <c r="IL23" s="1"/>
      <c r="IM23" s="1"/>
      <c r="IN23" s="1"/>
      <c r="IO23" s="1"/>
      <c r="IP23" s="1"/>
      <c r="IQ23" s="1"/>
      <c r="IR23" s="1"/>
      <c r="IS23" s="1"/>
      <c r="IT23" s="1"/>
      <c r="IU23" s="1"/>
      <c r="IV23" s="1"/>
      <c r="IW23" s="1"/>
      <c r="IX23" s="1"/>
      <c r="IY23" s="1"/>
      <c r="IZ23" s="1"/>
      <c r="JA23" s="1"/>
      <c r="JB23" s="1"/>
      <c r="JC23" s="1"/>
      <c r="JD23" s="1"/>
      <c r="JE23" s="1"/>
      <c r="JF23" s="1"/>
      <c r="JG23" s="1"/>
      <c r="JH23" s="1"/>
      <c r="JI23" s="1"/>
      <c r="JJ23" s="1"/>
      <c r="JK23" s="1"/>
      <c r="JL23" s="1"/>
      <c r="JM23" s="1"/>
      <c r="JN23" s="1"/>
      <c r="JO23" s="1"/>
      <c r="JP23" s="1"/>
      <c r="JQ23" s="1"/>
      <c r="JR23" s="1"/>
      <c r="JS23" s="1"/>
      <c r="JT23" s="1"/>
      <c r="JU23" s="1"/>
      <c r="JV23" s="1"/>
      <c r="JW23" s="1"/>
      <c r="JX23" s="1"/>
      <c r="JY23" s="1"/>
      <c r="JZ23" s="1"/>
      <c r="KA23" s="1"/>
      <c r="KB23" s="1"/>
      <c r="KC23" s="1"/>
      <c r="KD23" s="1"/>
      <c r="KE23" s="1"/>
      <c r="KF23" s="1"/>
      <c r="KG23" s="1"/>
      <c r="KH23" s="1"/>
      <c r="KI23" s="1"/>
      <c r="KJ23" s="1"/>
      <c r="KK23" s="1"/>
      <c r="KL23" s="1"/>
      <c r="KM23" s="1"/>
      <c r="KN23" s="1"/>
      <c r="KO23" s="1"/>
      <c r="KP23" s="1"/>
      <c r="KQ23" s="1"/>
      <c r="KR23" s="1"/>
      <c r="KS23" s="1"/>
      <c r="KT23" s="1"/>
      <c r="KU23" s="1"/>
      <c r="KV23" s="1"/>
      <c r="KW23" s="1"/>
      <c r="KX23" s="1"/>
      <c r="KY23" s="1"/>
      <c r="KZ23" s="1"/>
      <c r="LA23" s="1"/>
      <c r="LB23" s="1"/>
      <c r="LC23" s="1"/>
      <c r="LD23" s="1"/>
      <c r="LE23" s="1"/>
      <c r="LF23" s="1"/>
      <c r="LG23" s="1"/>
      <c r="LH23" s="1"/>
      <c r="LI23" s="1"/>
      <c r="LJ23" s="1"/>
      <c r="LK23" s="1"/>
      <c r="LL23" s="1"/>
      <c r="LM23" s="1"/>
      <c r="LN23" s="1"/>
      <c r="LO23" s="1"/>
      <c r="LP23" s="1"/>
      <c r="LQ23" s="1"/>
      <c r="LR23" s="1"/>
      <c r="LS23" s="1"/>
      <c r="LT23" s="1"/>
      <c r="LU23" s="1"/>
      <c r="LV23" s="1"/>
      <c r="LW23" s="1"/>
      <c r="LX23" s="1"/>
      <c r="LY23" s="1"/>
      <c r="LZ23" s="1"/>
      <c r="MA23" s="1"/>
      <c r="MB23" s="1"/>
      <c r="MC23" s="1"/>
      <c r="MD23" s="1"/>
      <c r="ME23" s="1"/>
      <c r="MF23" s="1"/>
      <c r="MG23" s="1"/>
      <c r="MH23" s="1"/>
      <c r="MI23" s="1"/>
      <c r="MJ23" s="1"/>
      <c r="MK23" s="1"/>
      <c r="ML23" s="1"/>
      <c r="MM23" s="1"/>
      <c r="MN23" s="1"/>
      <c r="MO23" s="1"/>
      <c r="MP23" s="1"/>
      <c r="MQ23" s="1"/>
      <c r="MR23" s="1"/>
      <c r="MS23" s="1"/>
      <c r="MT23" s="1"/>
      <c r="MU23" s="1"/>
      <c r="MV23" s="1"/>
      <c r="MW23" s="1"/>
      <c r="MX23" s="1"/>
      <c r="MY23" s="1"/>
      <c r="MZ23" s="1" t="s">
        <v>37</v>
      </c>
      <c r="NA23" s="1"/>
      <c r="NB23" s="1"/>
      <c r="NC23" s="1"/>
      <c r="ND23" s="1"/>
      <c r="NE23" s="1"/>
      <c r="NF23" s="1"/>
      <c r="NG23" s="1"/>
      <c r="NH23" s="1"/>
      <c r="NI23" s="1"/>
      <c r="NJ23" s="1"/>
      <c r="NK23" s="18">
        <f t="array" aca="1" ref="NK23" ca="1">SUMPRODUCT((OFFSET($A23,0,1,1,372)&lt;&gt;"")*(IF(OFFSET($A23,0,1,1,372)=$NX$16,0.5,IF(OFFSET($A23,0,1,1,372)=$NX$17,0.5,1))*(OFFSET($A$3,0,1,1,372))))</f>
        <v>1</v>
      </c>
      <c r="NL23" s="23">
        <f t="shared" ca="1" si="7"/>
        <v>0</v>
      </c>
      <c r="NM23" s="23">
        <f t="shared" ca="1" si="7"/>
        <v>0</v>
      </c>
      <c r="NN23" s="23">
        <f t="shared" ca="1" si="7"/>
        <v>0</v>
      </c>
      <c r="NO23" s="23">
        <f t="shared" ca="1" si="7"/>
        <v>1</v>
      </c>
      <c r="NP23" s="23">
        <f t="shared" ca="1" si="7"/>
        <v>0</v>
      </c>
      <c r="NQ23" s="23">
        <f t="shared" ca="1" si="7"/>
        <v>0</v>
      </c>
      <c r="NR23" s="23">
        <f t="shared" ca="1" si="7"/>
        <v>0</v>
      </c>
      <c r="NS23" s="23">
        <f t="shared" ca="1" si="7"/>
        <v>0</v>
      </c>
      <c r="NT23" s="23">
        <f t="shared" ca="1" si="7"/>
        <v>0</v>
      </c>
      <c r="NU23" s="23">
        <f t="shared" ca="1" si="7"/>
        <v>0</v>
      </c>
      <c r="NW23" s="14" t="s">
        <v>13</v>
      </c>
      <c r="NX23" s="14" t="s">
        <v>32</v>
      </c>
    </row>
    <row r="24" spans="1:388" x14ac:dyDescent="0.25">
      <c r="A24" s="1" t="s">
        <v>152</v>
      </c>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c r="GF24" s="1"/>
      <c r="GG24" s="1"/>
      <c r="GH24" s="1"/>
      <c r="GI24" s="1"/>
      <c r="GJ24" s="1"/>
      <c r="GK24" s="1"/>
      <c r="GL24" s="1"/>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1"/>
      <c r="HQ24" s="1"/>
      <c r="HR24" s="1"/>
      <c r="HS24" s="1"/>
      <c r="HT24" s="1"/>
      <c r="HU24" s="1"/>
      <c r="HV24" s="1"/>
      <c r="HW24" s="1"/>
      <c r="HX24" s="1"/>
      <c r="HY24" s="1"/>
      <c r="HZ24" s="1"/>
      <c r="IA24" s="1"/>
      <c r="IB24" s="1"/>
      <c r="IC24" s="1"/>
      <c r="ID24" s="1"/>
      <c r="IE24" s="1"/>
      <c r="IF24" s="1"/>
      <c r="IG24" s="1"/>
      <c r="IH24" s="1"/>
      <c r="II24" s="1"/>
      <c r="IJ24" s="1"/>
      <c r="IK24" s="1"/>
      <c r="IL24" s="1"/>
      <c r="IM24" s="1"/>
      <c r="IN24" s="1"/>
      <c r="IO24" s="1"/>
      <c r="IP24" s="1"/>
      <c r="IQ24" s="1"/>
      <c r="IR24" s="1"/>
      <c r="IS24" s="1"/>
      <c r="IT24" s="1"/>
      <c r="IU24" s="1"/>
      <c r="IV24" s="1"/>
      <c r="IW24" s="1"/>
      <c r="IX24" s="1"/>
      <c r="IY24" s="1"/>
      <c r="IZ24" s="1"/>
      <c r="JA24" s="1"/>
      <c r="JB24" s="1"/>
      <c r="JC24" s="1"/>
      <c r="JD24" s="1"/>
      <c r="JE24" s="1"/>
      <c r="JF24" s="1"/>
      <c r="JG24" s="1"/>
      <c r="JH24" s="1"/>
      <c r="JI24" s="1"/>
      <c r="JJ24" s="1"/>
      <c r="JK24" s="1"/>
      <c r="JL24" s="1"/>
      <c r="JM24" s="1"/>
      <c r="JN24" s="1"/>
      <c r="JO24" s="1"/>
      <c r="JP24" s="1"/>
      <c r="JQ24" s="1"/>
      <c r="JR24" s="1"/>
      <c r="JS24" s="1"/>
      <c r="JT24" s="1"/>
      <c r="JU24" s="1"/>
      <c r="JV24" s="1"/>
      <c r="JW24" s="1"/>
      <c r="JX24" s="1"/>
      <c r="JY24" s="1"/>
      <c r="JZ24" s="1"/>
      <c r="KA24" s="1"/>
      <c r="KB24" s="1"/>
      <c r="KC24" s="1"/>
      <c r="KD24" s="1"/>
      <c r="KE24" s="1"/>
      <c r="KF24" s="1"/>
      <c r="KG24" s="1"/>
      <c r="KH24" s="1"/>
      <c r="KI24" s="1"/>
      <c r="KJ24" s="1"/>
      <c r="KK24" s="1"/>
      <c r="KL24" s="1"/>
      <c r="KM24" s="1"/>
      <c r="KN24" s="1"/>
      <c r="KO24" s="1"/>
      <c r="KP24" s="1"/>
      <c r="KQ24" s="1"/>
      <c r="KR24" s="1"/>
      <c r="KS24" s="1"/>
      <c r="KT24" s="1"/>
      <c r="KU24" s="1"/>
      <c r="KV24" s="1"/>
      <c r="KW24" s="1"/>
      <c r="KX24" s="1"/>
      <c r="KY24" s="1"/>
      <c r="KZ24" s="1"/>
      <c r="LA24" s="1"/>
      <c r="LB24" s="1"/>
      <c r="LC24" s="1"/>
      <c r="LD24" s="1"/>
      <c r="LE24" s="1"/>
      <c r="LF24" s="1"/>
      <c r="LG24" s="1"/>
      <c r="LH24" s="1"/>
      <c r="LI24" s="1"/>
      <c r="LJ24" s="1"/>
      <c r="LK24" s="1"/>
      <c r="LL24" s="1"/>
      <c r="LM24" s="1"/>
      <c r="LN24" s="1"/>
      <c r="LO24" s="1"/>
      <c r="LP24" s="1"/>
      <c r="LQ24" s="1"/>
      <c r="LR24" s="1"/>
      <c r="LS24" s="1"/>
      <c r="LT24" s="1"/>
      <c r="LU24" s="1"/>
      <c r="LV24" s="1"/>
      <c r="LW24" s="1"/>
      <c r="LX24" s="1"/>
      <c r="LY24" s="1"/>
      <c r="LZ24" s="1"/>
      <c r="MA24" s="1"/>
      <c r="MB24" s="1"/>
      <c r="MC24" s="1"/>
      <c r="MD24" s="1"/>
      <c r="ME24" s="1"/>
      <c r="MF24" s="1"/>
      <c r="MG24" s="1"/>
      <c r="MH24" s="1"/>
      <c r="MI24" s="1"/>
      <c r="MJ24" s="1"/>
      <c r="MK24" s="1"/>
      <c r="ML24" s="1"/>
      <c r="MM24" s="1"/>
      <c r="MN24" s="1"/>
      <c r="MO24" s="1"/>
      <c r="MP24" s="1"/>
      <c r="MQ24" s="1"/>
      <c r="MR24" s="1"/>
      <c r="MS24" s="1"/>
      <c r="MT24" s="1"/>
      <c r="MU24" s="1"/>
      <c r="MV24" s="1"/>
      <c r="MW24" s="1"/>
      <c r="MX24" s="1"/>
      <c r="MY24" s="1"/>
      <c r="MZ24" s="1" t="s">
        <v>37</v>
      </c>
      <c r="NA24" s="1"/>
      <c r="NB24" s="1"/>
      <c r="NC24" s="1"/>
      <c r="ND24" s="1"/>
      <c r="NE24" s="1"/>
      <c r="NF24" s="1"/>
      <c r="NG24" s="1"/>
      <c r="NH24" s="1"/>
      <c r="NI24" s="1"/>
      <c r="NJ24" s="1"/>
      <c r="NK24" s="18">
        <f t="array" aca="1" ref="NK24" ca="1">SUMPRODUCT((OFFSET($A24,0,1,1,372)&lt;&gt;"")*(IF(OFFSET($A24,0,1,1,372)=$NX$16,0.5,IF(OFFSET($A24,0,1,1,372)=$NX$17,0.5,1))*(OFFSET($A$3,0,1,1,372))))</f>
        <v>1</v>
      </c>
      <c r="NL24" s="23">
        <f t="shared" ca="1" si="7"/>
        <v>0</v>
      </c>
      <c r="NM24" s="23">
        <f t="shared" ca="1" si="7"/>
        <v>0</v>
      </c>
      <c r="NN24" s="23">
        <f t="shared" ca="1" si="7"/>
        <v>0</v>
      </c>
      <c r="NO24" s="23">
        <f t="shared" ca="1" si="7"/>
        <v>1</v>
      </c>
      <c r="NP24" s="23">
        <f t="shared" ca="1" si="7"/>
        <v>0</v>
      </c>
      <c r="NQ24" s="23">
        <f t="shared" ca="1" si="7"/>
        <v>0</v>
      </c>
      <c r="NR24" s="23">
        <f t="shared" ca="1" si="7"/>
        <v>0</v>
      </c>
      <c r="NS24" s="23">
        <f t="shared" ca="1" si="7"/>
        <v>0</v>
      </c>
      <c r="NT24" s="23">
        <f t="shared" ca="1" si="7"/>
        <v>0</v>
      </c>
      <c r="NU24" s="23">
        <f t="shared" ca="1" si="7"/>
        <v>0</v>
      </c>
      <c r="NW24" s="14" t="s">
        <v>14</v>
      </c>
      <c r="NX24" s="14" t="s">
        <v>32</v>
      </c>
    </row>
    <row r="25" spans="1:388" x14ac:dyDescent="0.25">
      <c r="A25" s="1" t="s">
        <v>153</v>
      </c>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c r="GF25" s="1"/>
      <c r="GG25" s="1"/>
      <c r="GH25" s="1"/>
      <c r="GI25" s="1"/>
      <c r="GJ25" s="1"/>
      <c r="GK25" s="1"/>
      <c r="GL25" s="1"/>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1"/>
      <c r="HQ25" s="1"/>
      <c r="HR25" s="1"/>
      <c r="HS25" s="1"/>
      <c r="HT25" s="1"/>
      <c r="HU25" s="1"/>
      <c r="HV25" s="1"/>
      <c r="HW25" s="1"/>
      <c r="HX25" s="1"/>
      <c r="HY25" s="1"/>
      <c r="HZ25" s="1"/>
      <c r="IA25" s="1"/>
      <c r="IB25" s="1"/>
      <c r="IC25" s="1"/>
      <c r="ID25" s="1"/>
      <c r="IE25" s="1"/>
      <c r="IF25" s="1"/>
      <c r="IG25" s="1"/>
      <c r="IH25" s="1"/>
      <c r="II25" s="1"/>
      <c r="IJ25" s="1"/>
      <c r="IK25" s="1"/>
      <c r="IL25" s="1"/>
      <c r="IM25" s="1"/>
      <c r="IN25" s="1"/>
      <c r="IO25" s="1"/>
      <c r="IP25" s="1"/>
      <c r="IQ25" s="1"/>
      <c r="IR25" s="1"/>
      <c r="IS25" s="1"/>
      <c r="IT25" s="1"/>
      <c r="IU25" s="1"/>
      <c r="IV25" s="1"/>
      <c r="IW25" s="1"/>
      <c r="IX25" s="1"/>
      <c r="IY25" s="1"/>
      <c r="IZ25" s="1"/>
      <c r="JA25" s="1"/>
      <c r="JB25" s="1"/>
      <c r="JC25" s="1"/>
      <c r="JD25" s="1"/>
      <c r="JE25" s="1"/>
      <c r="JF25" s="1"/>
      <c r="JG25" s="1"/>
      <c r="JH25" s="1"/>
      <c r="JI25" s="1"/>
      <c r="JJ25" s="1"/>
      <c r="JK25" s="1"/>
      <c r="JL25" s="1"/>
      <c r="JM25" s="1"/>
      <c r="JN25" s="1"/>
      <c r="JO25" s="1"/>
      <c r="JP25" s="1"/>
      <c r="JQ25" s="1"/>
      <c r="JR25" s="1"/>
      <c r="JS25" s="1"/>
      <c r="JT25" s="1"/>
      <c r="JU25" s="1"/>
      <c r="JV25" s="1"/>
      <c r="JW25" s="1"/>
      <c r="JX25" s="1"/>
      <c r="JY25" s="1"/>
      <c r="JZ25" s="1"/>
      <c r="KA25" s="1"/>
      <c r="KB25" s="1"/>
      <c r="KC25" s="1"/>
      <c r="KD25" s="1"/>
      <c r="KE25" s="1"/>
      <c r="KF25" s="1"/>
      <c r="KG25" s="1"/>
      <c r="KH25" s="1"/>
      <c r="KI25" s="1"/>
      <c r="KJ25" s="1"/>
      <c r="KK25" s="1"/>
      <c r="KL25" s="1"/>
      <c r="KM25" s="1"/>
      <c r="KN25" s="1"/>
      <c r="KO25" s="1"/>
      <c r="KP25" s="1"/>
      <c r="KQ25" s="1"/>
      <c r="KR25" s="1"/>
      <c r="KS25" s="1"/>
      <c r="KT25" s="1"/>
      <c r="KU25" s="1"/>
      <c r="KV25" s="1"/>
      <c r="KW25" s="1"/>
      <c r="KX25" s="1"/>
      <c r="KY25" s="1"/>
      <c r="KZ25" s="1"/>
      <c r="LA25" s="1"/>
      <c r="LB25" s="1"/>
      <c r="LC25" s="1"/>
      <c r="LD25" s="1"/>
      <c r="LE25" s="1"/>
      <c r="LF25" s="1"/>
      <c r="LG25" s="1"/>
      <c r="LH25" s="1"/>
      <c r="LI25" s="1"/>
      <c r="LJ25" s="1"/>
      <c r="LK25" s="1"/>
      <c r="LL25" s="1"/>
      <c r="LM25" s="1"/>
      <c r="LN25" s="1"/>
      <c r="LO25" s="1"/>
      <c r="LP25" s="1"/>
      <c r="LQ25" s="1"/>
      <c r="LR25" s="1"/>
      <c r="LS25" s="1"/>
      <c r="LT25" s="1"/>
      <c r="LU25" s="1"/>
      <c r="LV25" s="1"/>
      <c r="LW25" s="1"/>
      <c r="LX25" s="1"/>
      <c r="LY25" s="1"/>
      <c r="LZ25" s="1"/>
      <c r="MA25" s="1"/>
      <c r="MB25" s="1"/>
      <c r="MC25" s="1"/>
      <c r="MD25" s="1"/>
      <c r="ME25" s="1"/>
      <c r="MF25" s="1"/>
      <c r="MG25" s="1"/>
      <c r="MH25" s="1"/>
      <c r="MI25" s="1"/>
      <c r="MJ25" s="1"/>
      <c r="MK25" s="1"/>
      <c r="ML25" s="1"/>
      <c r="MM25" s="1"/>
      <c r="MN25" s="1"/>
      <c r="MO25" s="1"/>
      <c r="MP25" s="1"/>
      <c r="MQ25" s="1"/>
      <c r="MR25" s="1"/>
      <c r="MS25" s="1"/>
      <c r="MT25" s="1"/>
      <c r="MU25" s="1"/>
      <c r="MV25" s="1"/>
      <c r="MW25" s="1"/>
      <c r="MX25" s="1"/>
      <c r="MY25" s="1"/>
      <c r="MZ25" s="1" t="s">
        <v>37</v>
      </c>
      <c r="NA25" s="1"/>
      <c r="NB25" s="1"/>
      <c r="NC25" s="1"/>
      <c r="ND25" s="1"/>
      <c r="NE25" s="1"/>
      <c r="NF25" s="1"/>
      <c r="NG25" s="1"/>
      <c r="NH25" s="1"/>
      <c r="NI25" s="1"/>
      <c r="NJ25" s="1"/>
      <c r="NK25" s="18">
        <f t="array" aca="1" ref="NK25" ca="1">SUMPRODUCT((OFFSET($A25,0,1,1,372)&lt;&gt;"")*(IF(OFFSET($A25,0,1,1,372)=$NX$16,0.5,IF(OFFSET($A25,0,1,1,372)=$NX$17,0.5,1))*(OFFSET($A$3,0,1,1,372))))</f>
        <v>1</v>
      </c>
      <c r="NL25" s="23">
        <f t="shared" ca="1" si="7"/>
        <v>0</v>
      </c>
      <c r="NM25" s="23">
        <f t="shared" ca="1" si="7"/>
        <v>0</v>
      </c>
      <c r="NN25" s="23">
        <f t="shared" ca="1" si="7"/>
        <v>0</v>
      </c>
      <c r="NO25" s="23">
        <f t="shared" ca="1" si="7"/>
        <v>1</v>
      </c>
      <c r="NP25" s="23">
        <f t="shared" ca="1" si="7"/>
        <v>0</v>
      </c>
      <c r="NQ25" s="23">
        <f t="shared" ca="1" si="7"/>
        <v>0</v>
      </c>
      <c r="NR25" s="23">
        <f t="shared" ca="1" si="7"/>
        <v>0</v>
      </c>
      <c r="NS25" s="23">
        <f t="shared" ca="1" si="7"/>
        <v>0</v>
      </c>
      <c r="NT25" s="23">
        <f t="shared" ca="1" si="7"/>
        <v>0</v>
      </c>
      <c r="NU25" s="23">
        <f t="shared" ca="1" si="7"/>
        <v>0</v>
      </c>
      <c r="NW25" s="14" t="s">
        <v>15</v>
      </c>
      <c r="NX25" s="14" t="s">
        <v>32</v>
      </c>
    </row>
    <row r="26" spans="1:388" x14ac:dyDescent="0.25">
      <c r="A26" s="1" t="s">
        <v>154</v>
      </c>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c r="GF26" s="1"/>
      <c r="GG26" s="1"/>
      <c r="GH26" s="1"/>
      <c r="GI26" s="1"/>
      <c r="GJ26" s="1"/>
      <c r="GK26" s="1"/>
      <c r="GL26" s="1"/>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1"/>
      <c r="HQ26" s="1"/>
      <c r="HR26" s="1"/>
      <c r="HS26" s="1"/>
      <c r="HT26" s="1"/>
      <c r="HU26" s="1"/>
      <c r="HV26" s="1"/>
      <c r="HW26" s="1"/>
      <c r="HX26" s="1"/>
      <c r="HY26" s="1"/>
      <c r="HZ26" s="1"/>
      <c r="IA26" s="1"/>
      <c r="IB26" s="1"/>
      <c r="IC26" s="1"/>
      <c r="ID26" s="1"/>
      <c r="IE26" s="1"/>
      <c r="IF26" s="1"/>
      <c r="IG26" s="1"/>
      <c r="IH26" s="1"/>
      <c r="II26" s="1"/>
      <c r="IJ26" s="1"/>
      <c r="IK26" s="1"/>
      <c r="IL26" s="1"/>
      <c r="IM26" s="1"/>
      <c r="IN26" s="1"/>
      <c r="IO26" s="1"/>
      <c r="IP26" s="1"/>
      <c r="IQ26" s="1"/>
      <c r="IR26" s="1"/>
      <c r="IS26" s="1"/>
      <c r="IT26" s="1"/>
      <c r="IU26" s="1"/>
      <c r="IV26" s="1"/>
      <c r="IW26" s="1"/>
      <c r="IX26" s="1"/>
      <c r="IY26" s="1"/>
      <c r="IZ26" s="1"/>
      <c r="JA26" s="1"/>
      <c r="JB26" s="1"/>
      <c r="JC26" s="1"/>
      <c r="JD26" s="1"/>
      <c r="JE26" s="1"/>
      <c r="JF26" s="1"/>
      <c r="JG26" s="1"/>
      <c r="JH26" s="1"/>
      <c r="JI26" s="1"/>
      <c r="JJ26" s="1"/>
      <c r="JK26" s="1"/>
      <c r="JL26" s="1"/>
      <c r="JM26" s="1"/>
      <c r="JN26" s="1"/>
      <c r="JO26" s="1"/>
      <c r="JP26" s="1"/>
      <c r="JQ26" s="1"/>
      <c r="JR26" s="1"/>
      <c r="JS26" s="1"/>
      <c r="JT26" s="1"/>
      <c r="JU26" s="1"/>
      <c r="JV26" s="1"/>
      <c r="JW26" s="1"/>
      <c r="JX26" s="1"/>
      <c r="JY26" s="1"/>
      <c r="JZ26" s="1"/>
      <c r="KA26" s="1"/>
      <c r="KB26" s="1"/>
      <c r="KC26" s="1"/>
      <c r="KD26" s="1"/>
      <c r="KE26" s="1"/>
      <c r="KF26" s="1"/>
      <c r="KG26" s="1"/>
      <c r="KH26" s="1"/>
      <c r="KI26" s="1"/>
      <c r="KJ26" s="1"/>
      <c r="KK26" s="1"/>
      <c r="KL26" s="1"/>
      <c r="KM26" s="1"/>
      <c r="KN26" s="1"/>
      <c r="KO26" s="1"/>
      <c r="KP26" s="1"/>
      <c r="KQ26" s="1"/>
      <c r="KR26" s="1"/>
      <c r="KS26" s="1"/>
      <c r="KT26" s="1"/>
      <c r="KU26" s="1"/>
      <c r="KV26" s="1"/>
      <c r="KW26" s="1"/>
      <c r="KX26" s="1"/>
      <c r="KY26" s="1"/>
      <c r="KZ26" s="1"/>
      <c r="LA26" s="1"/>
      <c r="LB26" s="1"/>
      <c r="LC26" s="1"/>
      <c r="LD26" s="1"/>
      <c r="LE26" s="1"/>
      <c r="LF26" s="1"/>
      <c r="LG26" s="1"/>
      <c r="LH26" s="1"/>
      <c r="LI26" s="1"/>
      <c r="LJ26" s="1"/>
      <c r="LK26" s="1"/>
      <c r="LL26" s="1"/>
      <c r="LM26" s="1"/>
      <c r="LN26" s="1"/>
      <c r="LO26" s="1"/>
      <c r="LP26" s="1"/>
      <c r="LQ26" s="1"/>
      <c r="LR26" s="1"/>
      <c r="LS26" s="1"/>
      <c r="LT26" s="1"/>
      <c r="LU26" s="1"/>
      <c r="LV26" s="1"/>
      <c r="LW26" s="1"/>
      <c r="LX26" s="1"/>
      <c r="LY26" s="1"/>
      <c r="LZ26" s="1"/>
      <c r="MA26" s="1"/>
      <c r="MB26" s="1"/>
      <c r="MC26" s="1"/>
      <c r="MD26" s="1"/>
      <c r="ME26" s="1"/>
      <c r="MF26" s="1"/>
      <c r="MG26" s="1"/>
      <c r="MH26" s="1"/>
      <c r="MI26" s="1"/>
      <c r="MJ26" s="1"/>
      <c r="MK26" s="1"/>
      <c r="ML26" s="1"/>
      <c r="MM26" s="1"/>
      <c r="MN26" s="1"/>
      <c r="MO26" s="1"/>
      <c r="MP26" s="1"/>
      <c r="MQ26" s="1"/>
      <c r="MR26" s="1"/>
      <c r="MS26" s="1"/>
      <c r="MT26" s="1"/>
      <c r="MU26" s="1"/>
      <c r="MV26" s="1"/>
      <c r="MW26" s="1"/>
      <c r="MX26" s="1"/>
      <c r="MY26" s="1"/>
      <c r="MZ26" s="1" t="s">
        <v>37</v>
      </c>
      <c r="NA26" s="1"/>
      <c r="NB26" s="1"/>
      <c r="NC26" s="1"/>
      <c r="ND26" s="1"/>
      <c r="NE26" s="1"/>
      <c r="NF26" s="1"/>
      <c r="NG26" s="1"/>
      <c r="NH26" s="1"/>
      <c r="NI26" s="1"/>
      <c r="NJ26" s="1"/>
      <c r="NK26" s="18">
        <f t="array" aca="1" ref="NK26" ca="1">SUMPRODUCT((OFFSET($A26,0,1,1,372)&lt;&gt;"")*(IF(OFFSET($A26,0,1,1,372)=$NX$16,0.5,IF(OFFSET($A26,0,1,1,372)=$NX$17,0.5,1))*(OFFSET($A$3,0,1,1,372))))</f>
        <v>1</v>
      </c>
      <c r="NL26" s="23">
        <f t="shared" ca="1" si="7"/>
        <v>0</v>
      </c>
      <c r="NM26" s="23">
        <f t="shared" ca="1" si="7"/>
        <v>0</v>
      </c>
      <c r="NN26" s="23">
        <f t="shared" ca="1" si="7"/>
        <v>0</v>
      </c>
      <c r="NO26" s="23">
        <f t="shared" ca="1" si="7"/>
        <v>1</v>
      </c>
      <c r="NP26" s="23">
        <f t="shared" ca="1" si="7"/>
        <v>0</v>
      </c>
      <c r="NQ26" s="23">
        <f t="shared" ca="1" si="7"/>
        <v>0</v>
      </c>
      <c r="NR26" s="23">
        <f t="shared" ca="1" si="7"/>
        <v>0</v>
      </c>
      <c r="NS26" s="23">
        <f t="shared" ca="1" si="7"/>
        <v>0</v>
      </c>
      <c r="NT26" s="23">
        <f t="shared" ca="1" si="7"/>
        <v>0</v>
      </c>
      <c r="NU26" s="23">
        <f t="shared" ca="1" si="7"/>
        <v>0</v>
      </c>
      <c r="NW26" s="14" t="s">
        <v>16</v>
      </c>
      <c r="NX26" s="14" t="s">
        <v>31</v>
      </c>
    </row>
    <row r="27" spans="1:388" x14ac:dyDescent="0.25">
      <c r="A27" s="1" t="s">
        <v>155</v>
      </c>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1"/>
      <c r="EU27" s="1"/>
      <c r="EV27" s="1"/>
      <c r="EW27" s="1"/>
      <c r="EX27" s="1"/>
      <c r="EY27" s="1"/>
      <c r="EZ27" s="1"/>
      <c r="FA27" s="1"/>
      <c r="FB27" s="1"/>
      <c r="FC27" s="1"/>
      <c r="FD27" s="1"/>
      <c r="FE27" s="1"/>
      <c r="FF27" s="1"/>
      <c r="FG27" s="1"/>
      <c r="FH27" s="1"/>
      <c r="FI27" s="1"/>
      <c r="FJ27" s="1"/>
      <c r="FK27" s="1"/>
      <c r="FL27" s="1"/>
      <c r="FM27" s="1"/>
      <c r="FN27" s="1"/>
      <c r="FO27" s="1"/>
      <c r="FP27" s="1"/>
      <c r="FQ27" s="1"/>
      <c r="FR27" s="1"/>
      <c r="FS27" s="1"/>
      <c r="FT27" s="1"/>
      <c r="FU27" s="1"/>
      <c r="FV27" s="1"/>
      <c r="FW27" s="1"/>
      <c r="FX27" s="1"/>
      <c r="FY27" s="1"/>
      <c r="FZ27" s="1"/>
      <c r="GA27" s="1"/>
      <c r="GB27" s="1"/>
      <c r="GC27" s="1"/>
      <c r="GD27" s="1"/>
      <c r="GE27" s="1"/>
      <c r="GF27" s="1"/>
      <c r="GG27" s="1"/>
      <c r="GH27" s="1"/>
      <c r="GI27" s="1"/>
      <c r="GJ27" s="1"/>
      <c r="GK27" s="1"/>
      <c r="GL27" s="1"/>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1"/>
      <c r="HQ27" s="1"/>
      <c r="HR27" s="1"/>
      <c r="HS27" s="1"/>
      <c r="HT27" s="1"/>
      <c r="HU27" s="1"/>
      <c r="HV27" s="1"/>
      <c r="HW27" s="1"/>
      <c r="HX27" s="1"/>
      <c r="HY27" s="1"/>
      <c r="HZ27" s="1"/>
      <c r="IA27" s="1"/>
      <c r="IB27" s="1"/>
      <c r="IC27" s="1"/>
      <c r="ID27" s="1"/>
      <c r="IE27" s="1"/>
      <c r="IF27" s="1"/>
      <c r="IG27" s="1"/>
      <c r="IH27" s="1"/>
      <c r="II27" s="1"/>
      <c r="IJ27" s="1"/>
      <c r="IK27" s="1"/>
      <c r="IL27" s="1"/>
      <c r="IM27" s="1"/>
      <c r="IN27" s="1"/>
      <c r="IO27" s="1"/>
      <c r="IP27" s="1"/>
      <c r="IQ27" s="1"/>
      <c r="IR27" s="1"/>
      <c r="IS27" s="1"/>
      <c r="IT27" s="1"/>
      <c r="IU27" s="1"/>
      <c r="IV27" s="1"/>
      <c r="IW27" s="1"/>
      <c r="IX27" s="1"/>
      <c r="IY27" s="1"/>
      <c r="IZ27" s="1"/>
      <c r="JA27" s="1"/>
      <c r="JB27" s="1"/>
      <c r="JC27" s="1"/>
      <c r="JD27" s="1"/>
      <c r="JE27" s="1"/>
      <c r="JF27" s="1"/>
      <c r="JG27" s="1"/>
      <c r="JH27" s="1"/>
      <c r="JI27" s="1"/>
      <c r="JJ27" s="1"/>
      <c r="JK27" s="1"/>
      <c r="JL27" s="1"/>
      <c r="JM27" s="1"/>
      <c r="JN27" s="1"/>
      <c r="JO27" s="1"/>
      <c r="JP27" s="1"/>
      <c r="JQ27" s="1"/>
      <c r="JR27" s="1"/>
      <c r="JS27" s="1"/>
      <c r="JT27" s="1"/>
      <c r="JU27" s="1"/>
      <c r="JV27" s="1"/>
      <c r="JW27" s="1"/>
      <c r="JX27" s="1"/>
      <c r="JY27" s="1"/>
      <c r="JZ27" s="1"/>
      <c r="KA27" s="1"/>
      <c r="KB27" s="1"/>
      <c r="KC27" s="1"/>
      <c r="KD27" s="1"/>
      <c r="KE27" s="1"/>
      <c r="KF27" s="1"/>
      <c r="KG27" s="1"/>
      <c r="KH27" s="1"/>
      <c r="KI27" s="1"/>
      <c r="KJ27" s="1"/>
      <c r="KK27" s="1"/>
      <c r="KL27" s="1"/>
      <c r="KM27" s="1"/>
      <c r="KN27" s="1"/>
      <c r="KO27" s="1"/>
      <c r="KP27" s="1"/>
      <c r="KQ27" s="1"/>
      <c r="KR27" s="1"/>
      <c r="KS27" s="1"/>
      <c r="KT27" s="1"/>
      <c r="KU27" s="1"/>
      <c r="KV27" s="1"/>
      <c r="KW27" s="1"/>
      <c r="KX27" s="1"/>
      <c r="KY27" s="1"/>
      <c r="KZ27" s="1"/>
      <c r="LA27" s="1"/>
      <c r="LB27" s="1"/>
      <c r="LC27" s="1"/>
      <c r="LD27" s="1"/>
      <c r="LE27" s="1"/>
      <c r="LF27" s="1"/>
      <c r="LG27" s="1"/>
      <c r="LH27" s="1"/>
      <c r="LI27" s="1"/>
      <c r="LJ27" s="1"/>
      <c r="LK27" s="1"/>
      <c r="LL27" s="1"/>
      <c r="LM27" s="1"/>
      <c r="LN27" s="1"/>
      <c r="LO27" s="1"/>
      <c r="LP27" s="1"/>
      <c r="LQ27" s="1"/>
      <c r="LR27" s="1"/>
      <c r="LS27" s="1"/>
      <c r="LT27" s="1"/>
      <c r="LU27" s="1"/>
      <c r="LV27" s="1"/>
      <c r="LW27" s="1"/>
      <c r="LX27" s="1"/>
      <c r="LY27" s="1"/>
      <c r="LZ27" s="1"/>
      <c r="MA27" s="1"/>
      <c r="MB27" s="1"/>
      <c r="MC27" s="1"/>
      <c r="MD27" s="1"/>
      <c r="ME27" s="1"/>
      <c r="MF27" s="1"/>
      <c r="MG27" s="1"/>
      <c r="MH27" s="1"/>
      <c r="MI27" s="1"/>
      <c r="MJ27" s="1"/>
      <c r="MK27" s="1"/>
      <c r="ML27" s="1"/>
      <c r="MM27" s="1"/>
      <c r="MN27" s="1"/>
      <c r="MO27" s="1"/>
      <c r="MP27" s="1"/>
      <c r="MQ27" s="1"/>
      <c r="MR27" s="1"/>
      <c r="MS27" s="1"/>
      <c r="MT27" s="1"/>
      <c r="MU27" s="1"/>
      <c r="MV27" s="1"/>
      <c r="MW27" s="1"/>
      <c r="MX27" s="1"/>
      <c r="MY27" s="1"/>
      <c r="MZ27" s="1" t="s">
        <v>37</v>
      </c>
      <c r="NA27" s="1"/>
      <c r="NB27" s="1"/>
      <c r="NC27" s="1"/>
      <c r="ND27" s="1"/>
      <c r="NE27" s="1"/>
      <c r="NF27" s="1"/>
      <c r="NG27" s="1"/>
      <c r="NH27" s="1"/>
      <c r="NI27" s="1"/>
      <c r="NJ27" s="1"/>
      <c r="NK27" s="18">
        <f t="array" aca="1" ref="NK27" ca="1">SUMPRODUCT((OFFSET($A27,0,1,1,372)&lt;&gt;"")*(IF(OFFSET($A27,0,1,1,372)=$NX$16,0.5,IF(OFFSET($A27,0,1,1,372)=$NX$17,0.5,1))*(OFFSET($A$3,0,1,1,372))))</f>
        <v>1</v>
      </c>
      <c r="NL27" s="23"/>
      <c r="NM27" s="23"/>
      <c r="NN27" s="23"/>
      <c r="NO27" s="23"/>
      <c r="NP27" s="23"/>
      <c r="NQ27" s="23"/>
      <c r="NR27" s="23"/>
      <c r="NS27" s="23"/>
      <c r="NT27" s="23"/>
      <c r="NU27" s="23"/>
      <c r="NW27" s="14"/>
      <c r="NX27" s="14"/>
    </row>
    <row r="28" spans="1:388" x14ac:dyDescent="0.25">
      <c r="A28" s="1" t="s">
        <v>156</v>
      </c>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c r="GF28" s="1"/>
      <c r="GG28" s="1"/>
      <c r="GH28" s="1"/>
      <c r="GI28" s="1"/>
      <c r="GJ28" s="1"/>
      <c r="GK28" s="1"/>
      <c r="GL28" s="1"/>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1"/>
      <c r="HQ28" s="1"/>
      <c r="HR28" s="1"/>
      <c r="HS28" s="1"/>
      <c r="HT28" s="1"/>
      <c r="HU28" s="1"/>
      <c r="HV28" s="1"/>
      <c r="HW28" s="1"/>
      <c r="HX28" s="1"/>
      <c r="HY28" s="1"/>
      <c r="HZ28" s="1"/>
      <c r="IA28" s="1"/>
      <c r="IB28" s="1"/>
      <c r="IC28" s="1"/>
      <c r="ID28" s="1"/>
      <c r="IE28" s="1"/>
      <c r="IF28" s="1"/>
      <c r="IG28" s="1"/>
      <c r="IH28" s="1"/>
      <c r="II28" s="1"/>
      <c r="IJ28" s="1"/>
      <c r="IK28" s="1"/>
      <c r="IL28" s="1"/>
      <c r="IM28" s="1"/>
      <c r="IN28" s="1"/>
      <c r="IO28" s="1"/>
      <c r="IP28" s="1"/>
      <c r="IQ28" s="1"/>
      <c r="IR28" s="1"/>
      <c r="IS28" s="1"/>
      <c r="IT28" s="1"/>
      <c r="IU28" s="1"/>
      <c r="IV28" s="1"/>
      <c r="IW28" s="1"/>
      <c r="IX28" s="1"/>
      <c r="IY28" s="1"/>
      <c r="IZ28" s="1"/>
      <c r="JA28" s="1"/>
      <c r="JB28" s="1"/>
      <c r="JC28" s="1"/>
      <c r="JD28" s="1"/>
      <c r="JE28" s="1"/>
      <c r="JF28" s="1"/>
      <c r="JG28" s="1"/>
      <c r="JH28" s="1"/>
      <c r="JI28" s="1"/>
      <c r="JJ28" s="1"/>
      <c r="JK28" s="1"/>
      <c r="JL28" s="1"/>
      <c r="JM28" s="1"/>
      <c r="JN28" s="1"/>
      <c r="JO28" s="1"/>
      <c r="JP28" s="1"/>
      <c r="JQ28" s="1"/>
      <c r="JR28" s="1"/>
      <c r="JS28" s="1"/>
      <c r="JT28" s="1"/>
      <c r="JU28" s="1"/>
      <c r="JV28" s="1"/>
      <c r="JW28" s="1"/>
      <c r="JX28" s="1"/>
      <c r="JY28" s="1"/>
      <c r="JZ28" s="1"/>
      <c r="KA28" s="1"/>
      <c r="KB28" s="1"/>
      <c r="KC28" s="1"/>
      <c r="KD28" s="1"/>
      <c r="KE28" s="1"/>
      <c r="KF28" s="1"/>
      <c r="KG28" s="1"/>
      <c r="KH28" s="1"/>
      <c r="KI28" s="1"/>
      <c r="KJ28" s="1"/>
      <c r="KK28" s="1"/>
      <c r="KL28" s="1"/>
      <c r="KM28" s="1"/>
      <c r="KN28" s="1"/>
      <c r="KO28" s="1"/>
      <c r="KP28" s="1"/>
      <c r="KQ28" s="1"/>
      <c r="KR28" s="1"/>
      <c r="KS28" s="1"/>
      <c r="KT28" s="1"/>
      <c r="KU28" s="1"/>
      <c r="KV28" s="1"/>
      <c r="KW28" s="1"/>
      <c r="KX28" s="1"/>
      <c r="KY28" s="1"/>
      <c r="KZ28" s="1"/>
      <c r="LA28" s="1"/>
      <c r="LB28" s="1"/>
      <c r="LC28" s="1"/>
      <c r="LD28" s="1"/>
      <c r="LE28" s="1"/>
      <c r="LF28" s="1"/>
      <c r="LG28" s="1"/>
      <c r="LH28" s="1"/>
      <c r="LI28" s="1"/>
      <c r="LJ28" s="1"/>
      <c r="LK28" s="1"/>
      <c r="LL28" s="1"/>
      <c r="LM28" s="1"/>
      <c r="LN28" s="1"/>
      <c r="LO28" s="1"/>
      <c r="LP28" s="1"/>
      <c r="LQ28" s="1"/>
      <c r="LR28" s="1"/>
      <c r="LS28" s="1"/>
      <c r="LT28" s="1"/>
      <c r="LU28" s="1"/>
      <c r="LV28" s="1"/>
      <c r="LW28" s="1"/>
      <c r="LX28" s="1"/>
      <c r="LY28" s="1"/>
      <c r="LZ28" s="1"/>
      <c r="MA28" s="1"/>
      <c r="MB28" s="1"/>
      <c r="MC28" s="1"/>
      <c r="MD28" s="1"/>
      <c r="ME28" s="1"/>
      <c r="MF28" s="1"/>
      <c r="MG28" s="1"/>
      <c r="MH28" s="1"/>
      <c r="MI28" s="1"/>
      <c r="MJ28" s="1"/>
      <c r="MK28" s="1"/>
      <c r="ML28" s="1"/>
      <c r="MM28" s="1"/>
      <c r="MN28" s="1"/>
      <c r="MO28" s="1"/>
      <c r="MP28" s="1"/>
      <c r="MQ28" s="1"/>
      <c r="MR28" s="1"/>
      <c r="MS28" s="1"/>
      <c r="MT28" s="1"/>
      <c r="MU28" s="1"/>
      <c r="MV28" s="1"/>
      <c r="MW28" s="1"/>
      <c r="MX28" s="1"/>
      <c r="MY28" s="1"/>
      <c r="MZ28" s="1" t="s">
        <v>37</v>
      </c>
      <c r="NA28" s="1"/>
      <c r="NB28" s="1"/>
      <c r="NC28" s="1"/>
      <c r="ND28" s="1"/>
      <c r="NE28" s="1"/>
      <c r="NF28" s="1"/>
      <c r="NG28" s="1"/>
      <c r="NH28" s="1"/>
      <c r="NI28" s="1"/>
      <c r="NJ28" s="1"/>
      <c r="NK28" s="18">
        <f t="array" aca="1" ref="NK28" ca="1">SUMPRODUCT((OFFSET($A28,0,1,1,372)&lt;&gt;"")*(IF(OFFSET($A28,0,1,1,372)=$NX$16,0.5,IF(OFFSET($A28,0,1,1,372)=$NX$17,0.5,1))*(OFFSET($A$3,0,1,1,372))))</f>
        <v>1</v>
      </c>
      <c r="NL28" s="23"/>
      <c r="NM28" s="23"/>
      <c r="NN28" s="23"/>
      <c r="NO28" s="23"/>
      <c r="NP28" s="23"/>
      <c r="NQ28" s="23"/>
      <c r="NR28" s="23"/>
      <c r="NS28" s="23"/>
      <c r="NT28" s="23"/>
      <c r="NU28" s="23"/>
      <c r="NW28" s="14"/>
      <c r="NX28" s="14"/>
    </row>
    <row r="29" spans="1:388" x14ac:dyDescent="0.25">
      <c r="A29" s="1" t="s">
        <v>157</v>
      </c>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c r="GF29" s="1"/>
      <c r="GG29" s="1"/>
      <c r="GH29" s="1"/>
      <c r="GI29" s="1"/>
      <c r="GJ29" s="1"/>
      <c r="GK29" s="1"/>
      <c r="GL29" s="1"/>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1"/>
      <c r="HQ29" s="1"/>
      <c r="HR29" s="1"/>
      <c r="HS29" s="1"/>
      <c r="HT29" s="1"/>
      <c r="HU29" s="1"/>
      <c r="HV29" s="1"/>
      <c r="HW29" s="1"/>
      <c r="HX29" s="1"/>
      <c r="HY29" s="1"/>
      <c r="HZ29" s="1"/>
      <c r="IA29" s="1"/>
      <c r="IB29" s="1"/>
      <c r="IC29" s="1"/>
      <c r="ID29" s="1"/>
      <c r="IE29" s="1"/>
      <c r="IF29" s="1"/>
      <c r="IG29" s="1"/>
      <c r="IH29" s="1"/>
      <c r="II29" s="1"/>
      <c r="IJ29" s="1"/>
      <c r="IK29" s="1"/>
      <c r="IL29" s="1"/>
      <c r="IM29" s="1"/>
      <c r="IN29" s="1"/>
      <c r="IO29" s="1"/>
      <c r="IP29" s="1"/>
      <c r="IQ29" s="1"/>
      <c r="IR29" s="1"/>
      <c r="IS29" s="1"/>
      <c r="IT29" s="1"/>
      <c r="IU29" s="1"/>
      <c r="IV29" s="1"/>
      <c r="IW29" s="1"/>
      <c r="IX29" s="1"/>
      <c r="IY29" s="1"/>
      <c r="IZ29" s="1"/>
      <c r="JA29" s="1"/>
      <c r="JB29" s="1"/>
      <c r="JC29" s="1"/>
      <c r="JD29" s="1"/>
      <c r="JE29" s="1"/>
      <c r="JF29" s="1"/>
      <c r="JG29" s="1"/>
      <c r="JH29" s="1"/>
      <c r="JI29" s="1"/>
      <c r="JJ29" s="1"/>
      <c r="JK29" s="1"/>
      <c r="JL29" s="1"/>
      <c r="JM29" s="1"/>
      <c r="JN29" s="1"/>
      <c r="JO29" s="1"/>
      <c r="JP29" s="1"/>
      <c r="JQ29" s="1"/>
      <c r="JR29" s="1"/>
      <c r="JS29" s="1"/>
      <c r="JT29" s="1"/>
      <c r="JU29" s="1"/>
      <c r="JV29" s="1"/>
      <c r="JW29" s="1"/>
      <c r="JX29" s="1"/>
      <c r="JY29" s="1"/>
      <c r="JZ29" s="1"/>
      <c r="KA29" s="1"/>
      <c r="KB29" s="1"/>
      <c r="KC29" s="1"/>
      <c r="KD29" s="1"/>
      <c r="KE29" s="1"/>
      <c r="KF29" s="1"/>
      <c r="KG29" s="1"/>
      <c r="KH29" s="1"/>
      <c r="KI29" s="1"/>
      <c r="KJ29" s="1"/>
      <c r="KK29" s="1"/>
      <c r="KL29" s="1"/>
      <c r="KM29" s="1"/>
      <c r="KN29" s="1"/>
      <c r="KO29" s="1"/>
      <c r="KP29" s="1"/>
      <c r="KQ29" s="1"/>
      <c r="KR29" s="1"/>
      <c r="KS29" s="1"/>
      <c r="KT29" s="1"/>
      <c r="KU29" s="1"/>
      <c r="KV29" s="1"/>
      <c r="KW29" s="1"/>
      <c r="KX29" s="1"/>
      <c r="KY29" s="1"/>
      <c r="KZ29" s="1"/>
      <c r="LA29" s="1"/>
      <c r="LB29" s="1"/>
      <c r="LC29" s="1"/>
      <c r="LD29" s="1"/>
      <c r="LE29" s="1"/>
      <c r="LF29" s="1"/>
      <c r="LG29" s="1"/>
      <c r="LH29" s="1"/>
      <c r="LI29" s="1"/>
      <c r="LJ29" s="1"/>
      <c r="LK29" s="1"/>
      <c r="LL29" s="1"/>
      <c r="LM29" s="1"/>
      <c r="LN29" s="1"/>
      <c r="LO29" s="1"/>
      <c r="LP29" s="1"/>
      <c r="LQ29" s="1"/>
      <c r="LR29" s="1"/>
      <c r="LS29" s="1"/>
      <c r="LT29" s="1"/>
      <c r="LU29" s="1"/>
      <c r="LV29" s="1"/>
      <c r="LW29" s="1"/>
      <c r="LX29" s="1"/>
      <c r="LY29" s="1"/>
      <c r="LZ29" s="1"/>
      <c r="MA29" s="1"/>
      <c r="MB29" s="1"/>
      <c r="MC29" s="1"/>
      <c r="MD29" s="1"/>
      <c r="ME29" s="1"/>
      <c r="MF29" s="1"/>
      <c r="MG29" s="1"/>
      <c r="MH29" s="1"/>
      <c r="MI29" s="1"/>
      <c r="MJ29" s="1"/>
      <c r="MK29" s="1"/>
      <c r="ML29" s="1"/>
      <c r="MM29" s="1"/>
      <c r="MN29" s="1"/>
      <c r="MO29" s="1"/>
      <c r="MP29" s="1"/>
      <c r="MQ29" s="1"/>
      <c r="MR29" s="1"/>
      <c r="MS29" s="1"/>
      <c r="MT29" s="1"/>
      <c r="MU29" s="1"/>
      <c r="MV29" s="1"/>
      <c r="MW29" s="1"/>
      <c r="MX29" s="1"/>
      <c r="MY29" s="1"/>
      <c r="MZ29" s="1" t="s">
        <v>37</v>
      </c>
      <c r="NA29" s="1"/>
      <c r="NB29" s="1"/>
      <c r="NC29" s="1"/>
      <c r="ND29" s="1"/>
      <c r="NE29" s="1"/>
      <c r="NF29" s="1"/>
      <c r="NG29" s="1"/>
      <c r="NH29" s="1"/>
      <c r="NI29" s="1"/>
      <c r="NJ29" s="1"/>
      <c r="NK29" s="18">
        <f t="array" aca="1" ref="NK29" ca="1">SUMPRODUCT((OFFSET($A29,0,1,1,372)&lt;&gt;"")*(IF(OFFSET($A29,0,1,1,372)=$NX$16,0.5,IF(OFFSET($A29,0,1,1,372)=$NX$17,0.5,1))*(OFFSET($A$3,0,1,1,372))))</f>
        <v>1</v>
      </c>
      <c r="NL29" s="23"/>
      <c r="NM29" s="23"/>
      <c r="NN29" s="23"/>
      <c r="NO29" s="23"/>
      <c r="NP29" s="23"/>
      <c r="NQ29" s="23"/>
      <c r="NR29" s="23"/>
      <c r="NS29" s="23"/>
      <c r="NT29" s="23"/>
      <c r="NU29" s="23"/>
      <c r="NW29" s="14"/>
      <c r="NX29" s="14"/>
    </row>
    <row r="30" spans="1:388" x14ac:dyDescent="0.25">
      <c r="A30" s="1" t="s">
        <v>158</v>
      </c>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c r="ID30" s="1"/>
      <c r="IE30" s="1"/>
      <c r="IF30" s="1"/>
      <c r="IG30" s="1"/>
      <c r="IH30" s="1"/>
      <c r="II30" s="1"/>
      <c r="IJ30" s="1"/>
      <c r="IK30" s="1"/>
      <c r="IL30" s="1"/>
      <c r="IM30" s="1"/>
      <c r="IN30" s="1"/>
      <c r="IO30" s="1"/>
      <c r="IP30" s="1"/>
      <c r="IQ30" s="1"/>
      <c r="IR30" s="1"/>
      <c r="IS30" s="1"/>
      <c r="IT30" s="1"/>
      <c r="IU30" s="1"/>
      <c r="IV30" s="1"/>
      <c r="IW30" s="1"/>
      <c r="IX30" s="1"/>
      <c r="IY30" s="1"/>
      <c r="IZ30" s="1"/>
      <c r="JA30" s="1"/>
      <c r="JB30" s="1"/>
      <c r="JC30" s="1"/>
      <c r="JD30" s="1"/>
      <c r="JE30" s="1"/>
      <c r="JF30" s="1"/>
      <c r="JG30" s="1"/>
      <c r="JH30" s="1"/>
      <c r="JI30" s="1"/>
      <c r="JJ30" s="1"/>
      <c r="JK30" s="1"/>
      <c r="JL30" s="1"/>
      <c r="JM30" s="1"/>
      <c r="JN30" s="1"/>
      <c r="JO30" s="1"/>
      <c r="JP30" s="1"/>
      <c r="JQ30" s="1"/>
      <c r="JR30" s="1"/>
      <c r="JS30" s="1"/>
      <c r="JT30" s="1"/>
      <c r="JU30" s="1"/>
      <c r="JV30" s="1"/>
      <c r="JW30" s="1"/>
      <c r="JX30" s="1"/>
      <c r="JY30" s="1"/>
      <c r="JZ30" s="1"/>
      <c r="KA30" s="1"/>
      <c r="KB30" s="1"/>
      <c r="KC30" s="1"/>
      <c r="KD30" s="1"/>
      <c r="KE30" s="1"/>
      <c r="KF30" s="1"/>
      <c r="KG30" s="1"/>
      <c r="KH30" s="1"/>
      <c r="KI30" s="1"/>
      <c r="KJ30" s="1"/>
      <c r="KK30" s="1"/>
      <c r="KL30" s="1"/>
      <c r="KM30" s="1"/>
      <c r="KN30" s="1"/>
      <c r="KO30" s="1"/>
      <c r="KP30" s="1"/>
      <c r="KQ30" s="1"/>
      <c r="KR30" s="1"/>
      <c r="KS30" s="1"/>
      <c r="KT30" s="1"/>
      <c r="KU30" s="1"/>
      <c r="KV30" s="1"/>
      <c r="KW30" s="1"/>
      <c r="KX30" s="1"/>
      <c r="KY30" s="1"/>
      <c r="KZ30" s="1"/>
      <c r="LA30" s="1"/>
      <c r="LB30" s="1"/>
      <c r="LC30" s="1"/>
      <c r="LD30" s="1"/>
      <c r="LE30" s="1"/>
      <c r="LF30" s="1"/>
      <c r="LG30" s="1"/>
      <c r="LH30" s="1"/>
      <c r="LI30" s="1"/>
      <c r="LJ30" s="1"/>
      <c r="LK30" s="1"/>
      <c r="LL30" s="1"/>
      <c r="LM30" s="1"/>
      <c r="LN30" s="1"/>
      <c r="LO30" s="1"/>
      <c r="LP30" s="1"/>
      <c r="LQ30" s="1"/>
      <c r="LR30" s="1"/>
      <c r="LS30" s="1"/>
      <c r="LT30" s="1"/>
      <c r="LU30" s="1"/>
      <c r="LV30" s="1"/>
      <c r="LW30" s="1"/>
      <c r="LX30" s="1"/>
      <c r="LY30" s="1"/>
      <c r="LZ30" s="1"/>
      <c r="MA30" s="1"/>
      <c r="MB30" s="1"/>
      <c r="MC30" s="1"/>
      <c r="MD30" s="1"/>
      <c r="ME30" s="1"/>
      <c r="MF30" s="1"/>
      <c r="MG30" s="1"/>
      <c r="MH30" s="1"/>
      <c r="MI30" s="1"/>
      <c r="MJ30" s="1"/>
      <c r="MK30" s="1"/>
      <c r="ML30" s="1"/>
      <c r="MM30" s="1"/>
      <c r="MN30" s="1"/>
      <c r="MO30" s="1"/>
      <c r="MP30" s="1"/>
      <c r="MQ30" s="1"/>
      <c r="MR30" s="1"/>
      <c r="MS30" s="1"/>
      <c r="MT30" s="1"/>
      <c r="MU30" s="1"/>
      <c r="MV30" s="1"/>
      <c r="MW30" s="1"/>
      <c r="MX30" s="1"/>
      <c r="MY30" s="1"/>
      <c r="MZ30" s="1" t="s">
        <v>37</v>
      </c>
      <c r="NA30" s="1"/>
      <c r="NB30" s="1"/>
      <c r="NC30" s="1"/>
      <c r="ND30" s="1"/>
      <c r="NE30" s="1"/>
      <c r="NF30" s="1"/>
      <c r="NG30" s="1"/>
      <c r="NH30" s="1"/>
      <c r="NI30" s="1"/>
      <c r="NJ30" s="1"/>
      <c r="NK30" s="18">
        <f t="array" aca="1" ref="NK30" ca="1">SUMPRODUCT((OFFSET($A30,0,1,1,372)&lt;&gt;"")*(IF(OFFSET($A30,0,1,1,372)=$NX$16,0.5,IF(OFFSET($A30,0,1,1,372)=$NX$17,0.5,1))*(OFFSET($A$3,0,1,1,372))))</f>
        <v>1</v>
      </c>
      <c r="NL30" s="23"/>
      <c r="NM30" s="23"/>
      <c r="NN30" s="23"/>
      <c r="NO30" s="23"/>
      <c r="NP30" s="23"/>
      <c r="NQ30" s="23"/>
      <c r="NR30" s="23"/>
      <c r="NS30" s="23"/>
      <c r="NT30" s="23"/>
      <c r="NU30" s="23"/>
      <c r="NW30" s="14"/>
      <c r="NX30" s="14"/>
    </row>
    <row r="31" spans="1:388" x14ac:dyDescent="0.25">
      <c r="A31" s="1" t="s">
        <v>159</v>
      </c>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c r="GF31" s="1"/>
      <c r="GG31" s="1"/>
      <c r="GH31" s="1"/>
      <c r="GI31" s="1"/>
      <c r="GJ31" s="1"/>
      <c r="GK31" s="1"/>
      <c r="GL31" s="1"/>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1"/>
      <c r="HQ31" s="1"/>
      <c r="HR31" s="1"/>
      <c r="HS31" s="1"/>
      <c r="HT31" s="1"/>
      <c r="HU31" s="1"/>
      <c r="HV31" s="1"/>
      <c r="HW31" s="1"/>
      <c r="HX31" s="1"/>
      <c r="HY31" s="1"/>
      <c r="HZ31" s="1"/>
      <c r="IA31" s="1"/>
      <c r="IB31" s="1"/>
      <c r="IC31" s="1"/>
      <c r="ID31" s="1"/>
      <c r="IE31" s="1"/>
      <c r="IF31" s="1"/>
      <c r="IG31" s="1"/>
      <c r="IH31" s="1"/>
      <c r="II31" s="1"/>
      <c r="IJ31" s="1"/>
      <c r="IK31" s="1"/>
      <c r="IL31" s="1"/>
      <c r="IM31" s="1"/>
      <c r="IN31" s="1"/>
      <c r="IO31" s="1"/>
      <c r="IP31" s="1"/>
      <c r="IQ31" s="1"/>
      <c r="IR31" s="1"/>
      <c r="IS31" s="1"/>
      <c r="IT31" s="1"/>
      <c r="IU31" s="1"/>
      <c r="IV31" s="1"/>
      <c r="IW31" s="1"/>
      <c r="IX31" s="1"/>
      <c r="IY31" s="1"/>
      <c r="IZ31" s="1"/>
      <c r="JA31" s="1"/>
      <c r="JB31" s="1"/>
      <c r="JC31" s="1"/>
      <c r="JD31" s="1"/>
      <c r="JE31" s="1"/>
      <c r="JF31" s="1"/>
      <c r="JG31" s="1"/>
      <c r="JH31" s="1"/>
      <c r="JI31" s="1"/>
      <c r="JJ31" s="1"/>
      <c r="JK31" s="1"/>
      <c r="JL31" s="1"/>
      <c r="JM31" s="1"/>
      <c r="JN31" s="1"/>
      <c r="JO31" s="1"/>
      <c r="JP31" s="1"/>
      <c r="JQ31" s="1"/>
      <c r="JR31" s="1"/>
      <c r="JS31" s="1"/>
      <c r="JT31" s="1"/>
      <c r="JU31" s="1"/>
      <c r="JV31" s="1"/>
      <c r="JW31" s="1"/>
      <c r="JX31" s="1"/>
      <c r="JY31" s="1"/>
      <c r="JZ31" s="1"/>
      <c r="KA31" s="1"/>
      <c r="KB31" s="1"/>
      <c r="KC31" s="1"/>
      <c r="KD31" s="1"/>
      <c r="KE31" s="1"/>
      <c r="KF31" s="1"/>
      <c r="KG31" s="1"/>
      <c r="KH31" s="1"/>
      <c r="KI31" s="1"/>
      <c r="KJ31" s="1"/>
      <c r="KK31" s="1"/>
      <c r="KL31" s="1"/>
      <c r="KM31" s="1"/>
      <c r="KN31" s="1"/>
      <c r="KO31" s="1"/>
      <c r="KP31" s="1"/>
      <c r="KQ31" s="1"/>
      <c r="KR31" s="1"/>
      <c r="KS31" s="1"/>
      <c r="KT31" s="1"/>
      <c r="KU31" s="1"/>
      <c r="KV31" s="1"/>
      <c r="KW31" s="1"/>
      <c r="KX31" s="1"/>
      <c r="KY31" s="1"/>
      <c r="KZ31" s="1"/>
      <c r="LA31" s="1"/>
      <c r="LB31" s="1"/>
      <c r="LC31" s="1"/>
      <c r="LD31" s="1"/>
      <c r="LE31" s="1"/>
      <c r="LF31" s="1"/>
      <c r="LG31" s="1"/>
      <c r="LH31" s="1"/>
      <c r="LI31" s="1"/>
      <c r="LJ31" s="1"/>
      <c r="LK31" s="1"/>
      <c r="LL31" s="1"/>
      <c r="LM31" s="1"/>
      <c r="LN31" s="1"/>
      <c r="LO31" s="1"/>
      <c r="LP31" s="1"/>
      <c r="LQ31" s="1"/>
      <c r="LR31" s="1"/>
      <c r="LS31" s="1"/>
      <c r="LT31" s="1"/>
      <c r="LU31" s="1"/>
      <c r="LV31" s="1"/>
      <c r="LW31" s="1"/>
      <c r="LX31" s="1"/>
      <c r="LY31" s="1"/>
      <c r="LZ31" s="1"/>
      <c r="MA31" s="1"/>
      <c r="MB31" s="1"/>
      <c r="MC31" s="1"/>
      <c r="MD31" s="1"/>
      <c r="ME31" s="1"/>
      <c r="MF31" s="1"/>
      <c r="MG31" s="1"/>
      <c r="MH31" s="1"/>
      <c r="MI31" s="1"/>
      <c r="MJ31" s="1"/>
      <c r="MK31" s="1"/>
      <c r="ML31" s="1"/>
      <c r="MM31" s="1"/>
      <c r="MN31" s="1"/>
      <c r="MO31" s="1"/>
      <c r="MP31" s="1"/>
      <c r="MQ31" s="1"/>
      <c r="MR31" s="1"/>
      <c r="MS31" s="1"/>
      <c r="MT31" s="1"/>
      <c r="MU31" s="1"/>
      <c r="MV31" s="1"/>
      <c r="MW31" s="1"/>
      <c r="MX31" s="1"/>
      <c r="MY31" s="1"/>
      <c r="MZ31" s="1" t="s">
        <v>37</v>
      </c>
      <c r="NA31" s="1"/>
      <c r="NB31" s="1"/>
      <c r="NC31" s="1"/>
      <c r="ND31" s="1"/>
      <c r="NE31" s="1"/>
      <c r="NF31" s="1"/>
      <c r="NG31" s="1"/>
      <c r="NH31" s="1"/>
      <c r="NI31" s="1"/>
      <c r="NJ31" s="1"/>
      <c r="NK31" s="18">
        <f t="array" aca="1" ref="NK31" ca="1">SUMPRODUCT((OFFSET($A31,0,1,1,372)&lt;&gt;"")*(IF(OFFSET($A31,0,1,1,372)=$NX$16,0.5,IF(OFFSET($A31,0,1,1,372)=$NX$17,0.5,1))*(OFFSET($A$3,0,1,1,372))))</f>
        <v>1</v>
      </c>
      <c r="NL31" s="23"/>
      <c r="NM31" s="23"/>
      <c r="NN31" s="23"/>
      <c r="NO31" s="23"/>
      <c r="NP31" s="23"/>
      <c r="NQ31" s="23"/>
      <c r="NR31" s="23"/>
      <c r="NS31" s="23"/>
      <c r="NT31" s="23"/>
      <c r="NU31" s="23"/>
      <c r="NW31" s="14"/>
      <c r="NX31" s="14"/>
    </row>
    <row r="32" spans="1:388" x14ac:dyDescent="0.25">
      <c r="A32" s="1" t="s">
        <v>160</v>
      </c>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HZ32" s="1"/>
      <c r="IA32" s="1"/>
      <c r="IB32" s="1"/>
      <c r="IC32" s="1"/>
      <c r="ID32" s="1"/>
      <c r="IE32" s="1"/>
      <c r="IF32" s="1"/>
      <c r="IG32" s="1"/>
      <c r="IH32" s="1"/>
      <c r="II32" s="1"/>
      <c r="IJ32" s="1"/>
      <c r="IK32" s="1"/>
      <c r="IL32" s="1"/>
      <c r="IM32" s="1"/>
      <c r="IN32" s="1"/>
      <c r="IO32" s="1"/>
      <c r="IP32" s="1"/>
      <c r="IQ32" s="1"/>
      <c r="IR32" s="1"/>
      <c r="IS32" s="1"/>
      <c r="IT32" s="1"/>
      <c r="IU32" s="1"/>
      <c r="IV32" s="1"/>
      <c r="IW32" s="1"/>
      <c r="IX32" s="1"/>
      <c r="IY32" s="1"/>
      <c r="IZ32" s="1"/>
      <c r="JA32" s="1"/>
      <c r="JB32" s="1"/>
      <c r="JC32" s="1"/>
      <c r="JD32" s="1"/>
      <c r="JE32" s="1"/>
      <c r="JF32" s="1"/>
      <c r="JG32" s="1"/>
      <c r="JH32" s="1"/>
      <c r="JI32" s="1"/>
      <c r="JJ32" s="1"/>
      <c r="JK32" s="1"/>
      <c r="JL32" s="1"/>
      <c r="JM32" s="1"/>
      <c r="JN32" s="1"/>
      <c r="JO32" s="1"/>
      <c r="JP32" s="1"/>
      <c r="JQ32" s="1"/>
      <c r="JR32" s="1"/>
      <c r="JS32" s="1"/>
      <c r="JT32" s="1"/>
      <c r="JU32" s="1"/>
      <c r="JV32" s="1"/>
      <c r="JW32" s="1"/>
      <c r="JX32" s="1"/>
      <c r="JY32" s="1"/>
      <c r="JZ32" s="1"/>
      <c r="KA32" s="1"/>
      <c r="KB32" s="1"/>
      <c r="KC32" s="1"/>
      <c r="KD32" s="1"/>
      <c r="KE32" s="1"/>
      <c r="KF32" s="1"/>
      <c r="KG32" s="1"/>
      <c r="KH32" s="1"/>
      <c r="KI32" s="1"/>
      <c r="KJ32" s="1"/>
      <c r="KK32" s="1"/>
      <c r="KL32" s="1"/>
      <c r="KM32" s="1"/>
      <c r="KN32" s="1"/>
      <c r="KO32" s="1"/>
      <c r="KP32" s="1"/>
      <c r="KQ32" s="1"/>
      <c r="KR32" s="1"/>
      <c r="KS32" s="1"/>
      <c r="KT32" s="1"/>
      <c r="KU32" s="1"/>
      <c r="KV32" s="1"/>
      <c r="KW32" s="1"/>
      <c r="KX32" s="1"/>
      <c r="KY32" s="1"/>
      <c r="KZ32" s="1"/>
      <c r="LA32" s="1"/>
      <c r="LB32" s="1"/>
      <c r="LC32" s="1"/>
      <c r="LD32" s="1"/>
      <c r="LE32" s="1"/>
      <c r="LF32" s="1"/>
      <c r="LG32" s="1"/>
      <c r="LH32" s="1"/>
      <c r="LI32" s="1"/>
      <c r="LJ32" s="1"/>
      <c r="LK32" s="1"/>
      <c r="LL32" s="1"/>
      <c r="LM32" s="1"/>
      <c r="LN32" s="1"/>
      <c r="LO32" s="1"/>
      <c r="LP32" s="1"/>
      <c r="LQ32" s="1"/>
      <c r="LR32" s="1"/>
      <c r="LS32" s="1"/>
      <c r="LT32" s="1"/>
      <c r="LU32" s="1"/>
      <c r="LV32" s="1"/>
      <c r="LW32" s="1"/>
      <c r="LX32" s="1"/>
      <c r="LY32" s="1"/>
      <c r="LZ32" s="1"/>
      <c r="MA32" s="1"/>
      <c r="MB32" s="1"/>
      <c r="MC32" s="1"/>
      <c r="MD32" s="1"/>
      <c r="ME32" s="1"/>
      <c r="MF32" s="1"/>
      <c r="MG32" s="1"/>
      <c r="MH32" s="1"/>
      <c r="MI32" s="1"/>
      <c r="MJ32" s="1"/>
      <c r="MK32" s="1"/>
      <c r="ML32" s="1"/>
      <c r="MM32" s="1"/>
      <c r="MN32" s="1"/>
      <c r="MO32" s="1"/>
      <c r="MP32" s="1"/>
      <c r="MQ32" s="1"/>
      <c r="MR32" s="1"/>
      <c r="MS32" s="1"/>
      <c r="MT32" s="1"/>
      <c r="MU32" s="1"/>
      <c r="MV32" s="1"/>
      <c r="MW32" s="1"/>
      <c r="MX32" s="1"/>
      <c r="MY32" s="1"/>
      <c r="MZ32" s="1" t="s">
        <v>37</v>
      </c>
      <c r="NA32" s="1"/>
      <c r="NB32" s="1"/>
      <c r="NC32" s="1"/>
      <c r="ND32" s="1"/>
      <c r="NE32" s="1"/>
      <c r="NF32" s="1"/>
      <c r="NG32" s="1"/>
      <c r="NH32" s="1"/>
      <c r="NI32" s="1"/>
      <c r="NJ32" s="1"/>
      <c r="NK32" s="18">
        <f t="array" aca="1" ref="NK32" ca="1">SUMPRODUCT((OFFSET($A32,0,1,1,372)&lt;&gt;"")*(IF(OFFSET($A32,0,1,1,372)=$NX$16,0.5,IF(OFFSET($A32,0,1,1,372)=$NX$17,0.5,1))*(OFFSET($A$3,0,1,1,372))))</f>
        <v>1</v>
      </c>
      <c r="NL32" s="23"/>
      <c r="NM32" s="23"/>
      <c r="NN32" s="23"/>
      <c r="NO32" s="23"/>
      <c r="NP32" s="23"/>
      <c r="NQ32" s="23"/>
      <c r="NR32" s="23"/>
      <c r="NS32" s="23"/>
      <c r="NT32" s="23"/>
      <c r="NU32" s="23"/>
      <c r="NW32" s="14"/>
      <c r="NX32" s="14"/>
    </row>
    <row r="33" spans="1:388" x14ac:dyDescent="0.25">
      <c r="A33" s="1" t="s">
        <v>161</v>
      </c>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c r="GF33" s="1"/>
      <c r="GG33" s="1"/>
      <c r="GH33" s="1"/>
      <c r="GI33" s="1"/>
      <c r="GJ33" s="1"/>
      <c r="GK33" s="1"/>
      <c r="GL33" s="1"/>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1"/>
      <c r="HQ33" s="1"/>
      <c r="HR33" s="1"/>
      <c r="HS33" s="1"/>
      <c r="HT33" s="1"/>
      <c r="HU33" s="1"/>
      <c r="HV33" s="1"/>
      <c r="HW33" s="1"/>
      <c r="HX33" s="1"/>
      <c r="HY33" s="1"/>
      <c r="HZ33" s="1"/>
      <c r="IA33" s="1"/>
      <c r="IB33" s="1"/>
      <c r="IC33" s="1"/>
      <c r="ID33" s="1"/>
      <c r="IE33" s="1"/>
      <c r="IF33" s="1"/>
      <c r="IG33" s="1"/>
      <c r="IH33" s="1"/>
      <c r="II33" s="1"/>
      <c r="IJ33" s="1"/>
      <c r="IK33" s="1"/>
      <c r="IL33" s="1"/>
      <c r="IM33" s="1"/>
      <c r="IN33" s="1"/>
      <c r="IO33" s="1"/>
      <c r="IP33" s="1"/>
      <c r="IQ33" s="1"/>
      <c r="IR33" s="1"/>
      <c r="IS33" s="1"/>
      <c r="IT33" s="1"/>
      <c r="IU33" s="1"/>
      <c r="IV33" s="1"/>
      <c r="IW33" s="1"/>
      <c r="IX33" s="1"/>
      <c r="IY33" s="1"/>
      <c r="IZ33" s="1"/>
      <c r="JA33" s="1"/>
      <c r="JB33" s="1"/>
      <c r="JC33" s="1"/>
      <c r="JD33" s="1"/>
      <c r="JE33" s="1"/>
      <c r="JF33" s="1"/>
      <c r="JG33" s="1"/>
      <c r="JH33" s="1"/>
      <c r="JI33" s="1"/>
      <c r="JJ33" s="1"/>
      <c r="JK33" s="1"/>
      <c r="JL33" s="1"/>
      <c r="JM33" s="1"/>
      <c r="JN33" s="1"/>
      <c r="JO33" s="1"/>
      <c r="JP33" s="1"/>
      <c r="JQ33" s="1"/>
      <c r="JR33" s="1"/>
      <c r="JS33" s="1"/>
      <c r="JT33" s="1"/>
      <c r="JU33" s="1"/>
      <c r="JV33" s="1"/>
      <c r="JW33" s="1"/>
      <c r="JX33" s="1"/>
      <c r="JY33" s="1"/>
      <c r="JZ33" s="1"/>
      <c r="KA33" s="1"/>
      <c r="KB33" s="1"/>
      <c r="KC33" s="1"/>
      <c r="KD33" s="1"/>
      <c r="KE33" s="1"/>
      <c r="KF33" s="1"/>
      <c r="KG33" s="1"/>
      <c r="KH33" s="1"/>
      <c r="KI33" s="1"/>
      <c r="KJ33" s="1"/>
      <c r="KK33" s="1"/>
      <c r="KL33" s="1"/>
      <c r="KM33" s="1"/>
      <c r="KN33" s="1"/>
      <c r="KO33" s="1"/>
      <c r="KP33" s="1"/>
      <c r="KQ33" s="1"/>
      <c r="KR33" s="1"/>
      <c r="KS33" s="1"/>
      <c r="KT33" s="1"/>
      <c r="KU33" s="1"/>
      <c r="KV33" s="1"/>
      <c r="KW33" s="1"/>
      <c r="KX33" s="1"/>
      <c r="KY33" s="1"/>
      <c r="KZ33" s="1"/>
      <c r="LA33" s="1"/>
      <c r="LB33" s="1"/>
      <c r="LC33" s="1"/>
      <c r="LD33" s="1"/>
      <c r="LE33" s="1"/>
      <c r="LF33" s="1"/>
      <c r="LG33" s="1"/>
      <c r="LH33" s="1"/>
      <c r="LI33" s="1"/>
      <c r="LJ33" s="1"/>
      <c r="LK33" s="1"/>
      <c r="LL33" s="1"/>
      <c r="LM33" s="1"/>
      <c r="LN33" s="1"/>
      <c r="LO33" s="1"/>
      <c r="LP33" s="1"/>
      <c r="LQ33" s="1"/>
      <c r="LR33" s="1"/>
      <c r="LS33" s="1"/>
      <c r="LT33" s="1"/>
      <c r="LU33" s="1"/>
      <c r="LV33" s="1"/>
      <c r="LW33" s="1"/>
      <c r="LX33" s="1"/>
      <c r="LY33" s="1"/>
      <c r="LZ33" s="1"/>
      <c r="MA33" s="1"/>
      <c r="MB33" s="1"/>
      <c r="MC33" s="1"/>
      <c r="MD33" s="1"/>
      <c r="ME33" s="1"/>
      <c r="MF33" s="1"/>
      <c r="MG33" s="1"/>
      <c r="MH33" s="1"/>
      <c r="MI33" s="1"/>
      <c r="MJ33" s="1"/>
      <c r="MK33" s="1"/>
      <c r="ML33" s="1"/>
      <c r="MM33" s="1"/>
      <c r="MN33" s="1"/>
      <c r="MO33" s="1"/>
      <c r="MP33" s="1"/>
      <c r="MQ33" s="1"/>
      <c r="MR33" s="1"/>
      <c r="MS33" s="1"/>
      <c r="MT33" s="1"/>
      <c r="MU33" s="1"/>
      <c r="MV33" s="1"/>
      <c r="MW33" s="1"/>
      <c r="MX33" s="1"/>
      <c r="MY33" s="1"/>
      <c r="MZ33" s="1" t="s">
        <v>37</v>
      </c>
      <c r="NA33" s="1"/>
      <c r="NB33" s="1"/>
      <c r="NC33" s="1"/>
      <c r="ND33" s="1"/>
      <c r="NE33" s="1"/>
      <c r="NF33" s="1"/>
      <c r="NG33" s="1"/>
      <c r="NH33" s="1"/>
      <c r="NI33" s="1"/>
      <c r="NJ33" s="1"/>
      <c r="NK33" s="18">
        <f t="array" aca="1" ref="NK33" ca="1">SUMPRODUCT((OFFSET($A33,0,1,1,372)&lt;&gt;"")*(IF(OFFSET($A33,0,1,1,372)=$NX$16,0.5,IF(OFFSET($A33,0,1,1,372)=$NX$17,0.5,1))*(OFFSET($A$3,0,1,1,372))))</f>
        <v>1</v>
      </c>
      <c r="NL33" s="23"/>
      <c r="NM33" s="23"/>
      <c r="NN33" s="23"/>
      <c r="NO33" s="23"/>
      <c r="NP33" s="23"/>
      <c r="NQ33" s="23"/>
      <c r="NR33" s="23"/>
      <c r="NS33" s="23"/>
      <c r="NT33" s="23"/>
      <c r="NU33" s="23"/>
      <c r="NW33" s="14"/>
      <c r="NX33" s="14"/>
    </row>
    <row r="34" spans="1:388" x14ac:dyDescent="0.25">
      <c r="A34" s="1" t="s">
        <v>162</v>
      </c>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c r="GF34" s="1"/>
      <c r="GG34" s="1"/>
      <c r="GH34" s="1"/>
      <c r="GI34" s="1"/>
      <c r="GJ34" s="1"/>
      <c r="GK34" s="1"/>
      <c r="GL34" s="1"/>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1"/>
      <c r="HQ34" s="1"/>
      <c r="HR34" s="1"/>
      <c r="HS34" s="1"/>
      <c r="HT34" s="1"/>
      <c r="HU34" s="1"/>
      <c r="HV34" s="1"/>
      <c r="HW34" s="1"/>
      <c r="HX34" s="1"/>
      <c r="HY34" s="1"/>
      <c r="HZ34" s="1"/>
      <c r="IA34" s="1"/>
      <c r="IB34" s="1"/>
      <c r="IC34" s="1"/>
      <c r="ID34" s="1"/>
      <c r="IE34" s="1"/>
      <c r="IF34" s="1"/>
      <c r="IG34" s="1"/>
      <c r="IH34" s="1"/>
      <c r="II34" s="1"/>
      <c r="IJ34" s="1"/>
      <c r="IK34" s="1"/>
      <c r="IL34" s="1"/>
      <c r="IM34" s="1"/>
      <c r="IN34" s="1"/>
      <c r="IO34" s="1"/>
      <c r="IP34" s="1"/>
      <c r="IQ34" s="1"/>
      <c r="IR34" s="1"/>
      <c r="IS34" s="1"/>
      <c r="IT34" s="1"/>
      <c r="IU34" s="1"/>
      <c r="IV34" s="1"/>
      <c r="IW34" s="1"/>
      <c r="IX34" s="1"/>
      <c r="IY34" s="1"/>
      <c r="IZ34" s="1"/>
      <c r="JA34" s="1"/>
      <c r="JB34" s="1"/>
      <c r="JC34" s="1"/>
      <c r="JD34" s="1"/>
      <c r="JE34" s="1"/>
      <c r="JF34" s="1"/>
      <c r="JG34" s="1"/>
      <c r="JH34" s="1"/>
      <c r="JI34" s="1"/>
      <c r="JJ34" s="1"/>
      <c r="JK34" s="1"/>
      <c r="JL34" s="1"/>
      <c r="JM34" s="1"/>
      <c r="JN34" s="1"/>
      <c r="JO34" s="1"/>
      <c r="JP34" s="1"/>
      <c r="JQ34" s="1"/>
      <c r="JR34" s="1"/>
      <c r="JS34" s="1"/>
      <c r="JT34" s="1"/>
      <c r="JU34" s="1"/>
      <c r="JV34" s="1"/>
      <c r="JW34" s="1"/>
      <c r="JX34" s="1"/>
      <c r="JY34" s="1"/>
      <c r="JZ34" s="1"/>
      <c r="KA34" s="1"/>
      <c r="KB34" s="1"/>
      <c r="KC34" s="1"/>
      <c r="KD34" s="1"/>
      <c r="KE34" s="1"/>
      <c r="KF34" s="1"/>
      <c r="KG34" s="1"/>
      <c r="KH34" s="1"/>
      <c r="KI34" s="1"/>
      <c r="KJ34" s="1"/>
      <c r="KK34" s="1"/>
      <c r="KL34" s="1"/>
      <c r="KM34" s="1"/>
      <c r="KN34" s="1"/>
      <c r="KO34" s="1"/>
      <c r="KP34" s="1"/>
      <c r="KQ34" s="1"/>
      <c r="KR34" s="1"/>
      <c r="KS34" s="1"/>
      <c r="KT34" s="1"/>
      <c r="KU34" s="1"/>
      <c r="KV34" s="1"/>
      <c r="KW34" s="1"/>
      <c r="KX34" s="1"/>
      <c r="KY34" s="1"/>
      <c r="KZ34" s="1"/>
      <c r="LA34" s="1"/>
      <c r="LB34" s="1"/>
      <c r="LC34" s="1"/>
      <c r="LD34" s="1"/>
      <c r="LE34" s="1"/>
      <c r="LF34" s="1"/>
      <c r="LG34" s="1"/>
      <c r="LH34" s="1"/>
      <c r="LI34" s="1"/>
      <c r="LJ34" s="1"/>
      <c r="LK34" s="1"/>
      <c r="LL34" s="1"/>
      <c r="LM34" s="1"/>
      <c r="LN34" s="1"/>
      <c r="LO34" s="1"/>
      <c r="LP34" s="1"/>
      <c r="LQ34" s="1"/>
      <c r="LR34" s="1"/>
      <c r="LS34" s="1"/>
      <c r="LT34" s="1"/>
      <c r="LU34" s="1"/>
      <c r="LV34" s="1"/>
      <c r="LW34" s="1"/>
      <c r="LX34" s="1"/>
      <c r="LY34" s="1"/>
      <c r="LZ34" s="1"/>
      <c r="MA34" s="1"/>
      <c r="MB34" s="1"/>
      <c r="MC34" s="1"/>
      <c r="MD34" s="1"/>
      <c r="ME34" s="1"/>
      <c r="MF34" s="1"/>
      <c r="MG34" s="1"/>
      <c r="MH34" s="1"/>
      <c r="MI34" s="1"/>
      <c r="MJ34" s="1"/>
      <c r="MK34" s="1"/>
      <c r="ML34" s="1"/>
      <c r="MM34" s="1"/>
      <c r="MN34" s="1"/>
      <c r="MO34" s="1"/>
      <c r="MP34" s="1"/>
      <c r="MQ34" s="1"/>
      <c r="MR34" s="1"/>
      <c r="MS34" s="1"/>
      <c r="MT34" s="1"/>
      <c r="MU34" s="1"/>
      <c r="MV34" s="1"/>
      <c r="MW34" s="1"/>
      <c r="MX34" s="1"/>
      <c r="MY34" s="1"/>
      <c r="MZ34" s="1" t="s">
        <v>37</v>
      </c>
      <c r="NA34" s="1"/>
      <c r="NB34" s="1"/>
      <c r="NC34" s="1"/>
      <c r="ND34" s="1"/>
      <c r="NE34" s="1"/>
      <c r="NF34" s="1"/>
      <c r="NG34" s="1"/>
      <c r="NH34" s="1"/>
      <c r="NI34" s="1"/>
      <c r="NJ34" s="1"/>
      <c r="NK34" s="18">
        <f t="array" aca="1" ref="NK34" ca="1">SUMPRODUCT((OFFSET($A34,0,1,1,372)&lt;&gt;"")*(IF(OFFSET($A34,0,1,1,372)=$NX$16,0.5,IF(OFFSET($A34,0,1,1,372)=$NX$17,0.5,1))*(OFFSET($A$3,0,1,1,372))))</f>
        <v>1</v>
      </c>
      <c r="NL34" s="23"/>
      <c r="NM34" s="23"/>
      <c r="NN34" s="23"/>
      <c r="NO34" s="23"/>
      <c r="NP34" s="23"/>
      <c r="NQ34" s="23"/>
      <c r="NR34" s="23"/>
      <c r="NS34" s="23"/>
      <c r="NT34" s="23"/>
      <c r="NU34" s="23"/>
      <c r="NW34" s="14"/>
      <c r="NX34" s="14"/>
    </row>
    <row r="35" spans="1:388" x14ac:dyDescent="0.25">
      <c r="A35" s="1" t="s">
        <v>163</v>
      </c>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c r="IW35" s="1"/>
      <c r="IX35" s="1"/>
      <c r="IY35" s="1"/>
      <c r="IZ35" s="1"/>
      <c r="JA35" s="1"/>
      <c r="JB35" s="1"/>
      <c r="JC35" s="1"/>
      <c r="JD35" s="1"/>
      <c r="JE35" s="1"/>
      <c r="JF35" s="1"/>
      <c r="JG35" s="1"/>
      <c r="JH35" s="1"/>
      <c r="JI35" s="1"/>
      <c r="JJ35" s="1"/>
      <c r="JK35" s="1"/>
      <c r="JL35" s="1"/>
      <c r="JM35" s="1"/>
      <c r="JN35" s="1"/>
      <c r="JO35" s="1"/>
      <c r="JP35" s="1"/>
      <c r="JQ35" s="1"/>
      <c r="JR35" s="1"/>
      <c r="JS35" s="1"/>
      <c r="JT35" s="1"/>
      <c r="JU35" s="1"/>
      <c r="JV35" s="1"/>
      <c r="JW35" s="1"/>
      <c r="JX35" s="1"/>
      <c r="JY35" s="1"/>
      <c r="JZ35" s="1"/>
      <c r="KA35" s="1"/>
      <c r="KB35" s="1"/>
      <c r="KC35" s="1"/>
      <c r="KD35" s="1"/>
      <c r="KE35" s="1"/>
      <c r="KF35" s="1"/>
      <c r="KG35" s="1"/>
      <c r="KH35" s="1"/>
      <c r="KI35" s="1"/>
      <c r="KJ35" s="1"/>
      <c r="KK35" s="1"/>
      <c r="KL35" s="1"/>
      <c r="KM35" s="1"/>
      <c r="KN35" s="1"/>
      <c r="KO35" s="1"/>
      <c r="KP35" s="1"/>
      <c r="KQ35" s="1"/>
      <c r="KR35" s="1"/>
      <c r="KS35" s="1"/>
      <c r="KT35" s="1"/>
      <c r="KU35" s="1"/>
      <c r="KV35" s="1"/>
      <c r="KW35" s="1"/>
      <c r="KX35" s="1"/>
      <c r="KY35" s="1"/>
      <c r="KZ35" s="1"/>
      <c r="LA35" s="1"/>
      <c r="LB35" s="1"/>
      <c r="LC35" s="1"/>
      <c r="LD35" s="1"/>
      <c r="LE35" s="1"/>
      <c r="LF35" s="1"/>
      <c r="LG35" s="1"/>
      <c r="LH35" s="1"/>
      <c r="LI35" s="1"/>
      <c r="LJ35" s="1"/>
      <c r="LK35" s="1"/>
      <c r="LL35" s="1"/>
      <c r="LM35" s="1"/>
      <c r="LN35" s="1"/>
      <c r="LO35" s="1"/>
      <c r="LP35" s="1"/>
      <c r="LQ35" s="1"/>
      <c r="LR35" s="1"/>
      <c r="LS35" s="1"/>
      <c r="LT35" s="1"/>
      <c r="LU35" s="1"/>
      <c r="LV35" s="1"/>
      <c r="LW35" s="1"/>
      <c r="LX35" s="1"/>
      <c r="LY35" s="1"/>
      <c r="LZ35" s="1"/>
      <c r="MA35" s="1"/>
      <c r="MB35" s="1"/>
      <c r="MC35" s="1"/>
      <c r="MD35" s="1"/>
      <c r="ME35" s="1"/>
      <c r="MF35" s="1"/>
      <c r="MG35" s="1"/>
      <c r="MH35" s="1"/>
      <c r="MI35" s="1"/>
      <c r="MJ35" s="1"/>
      <c r="MK35" s="1"/>
      <c r="ML35" s="1"/>
      <c r="MM35" s="1"/>
      <c r="MN35" s="1"/>
      <c r="MO35" s="1"/>
      <c r="MP35" s="1"/>
      <c r="MQ35" s="1"/>
      <c r="MR35" s="1"/>
      <c r="MS35" s="1"/>
      <c r="MT35" s="1"/>
      <c r="MU35" s="1"/>
      <c r="MV35" s="1"/>
      <c r="MW35" s="1"/>
      <c r="MX35" s="1"/>
      <c r="MY35" s="1"/>
      <c r="MZ35" s="1" t="s">
        <v>37</v>
      </c>
      <c r="NA35" s="1"/>
      <c r="NB35" s="1"/>
      <c r="NC35" s="1"/>
      <c r="ND35" s="1"/>
      <c r="NE35" s="1"/>
      <c r="NF35" s="1"/>
      <c r="NG35" s="1"/>
      <c r="NH35" s="1"/>
      <c r="NI35" s="1"/>
      <c r="NJ35" s="1"/>
      <c r="NK35" s="18">
        <f t="array" aca="1" ref="NK35" ca="1">SUMPRODUCT((OFFSET($A35,0,1,1,372)&lt;&gt;"")*(IF(OFFSET($A35,0,1,1,372)=$NX$16,0.5,IF(OFFSET($A35,0,1,1,372)=$NX$17,0.5,1))*(OFFSET($A$3,0,1,1,372))))</f>
        <v>1</v>
      </c>
      <c r="NL35" s="23">
        <f t="shared" ref="NL35:NU35" ca="1" si="8">SUMPRODUCT((OFFSET($A35,0,1,1,372)&lt;&gt;"")*(OFFSET($A$3,0,1,1,372))*((OFFSET($A35,0,1,1,372))=NL$5))</f>
        <v>0</v>
      </c>
      <c r="NM35" s="23">
        <f t="shared" ca="1" si="8"/>
        <v>0</v>
      </c>
      <c r="NN35" s="23">
        <f t="shared" ca="1" si="8"/>
        <v>0</v>
      </c>
      <c r="NO35" s="23">
        <f t="shared" ca="1" si="8"/>
        <v>1</v>
      </c>
      <c r="NP35" s="23">
        <f t="shared" ca="1" si="8"/>
        <v>0</v>
      </c>
      <c r="NQ35" s="23">
        <f t="shared" ca="1" si="8"/>
        <v>0</v>
      </c>
      <c r="NR35" s="23">
        <f t="shared" ca="1" si="8"/>
        <v>0</v>
      </c>
      <c r="NS35" s="23">
        <f t="shared" ca="1" si="8"/>
        <v>0</v>
      </c>
      <c r="NT35" s="23">
        <f t="shared" ca="1" si="8"/>
        <v>0</v>
      </c>
      <c r="NU35" s="23">
        <f t="shared" ca="1" si="8"/>
        <v>0</v>
      </c>
      <c r="NW35" s="14" t="s">
        <v>17</v>
      </c>
      <c r="NX35" s="14" t="s">
        <v>31</v>
      </c>
    </row>
    <row r="36" spans="1:388" x14ac:dyDescent="0.25">
      <c r="A36" s="1" t="s">
        <v>164</v>
      </c>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c r="IW36" s="1"/>
      <c r="IX36" s="1"/>
      <c r="IY36" s="1"/>
      <c r="IZ36" s="1"/>
      <c r="JA36" s="1"/>
      <c r="JB36" s="1"/>
      <c r="JC36" s="1"/>
      <c r="JD36" s="1"/>
      <c r="JE36" s="1"/>
      <c r="JF36" s="1"/>
      <c r="JG36" s="1"/>
      <c r="JH36" s="1"/>
      <c r="JI36" s="1"/>
      <c r="JJ36" s="1"/>
      <c r="JK36" s="1"/>
      <c r="JL36" s="1"/>
      <c r="JM36" s="1"/>
      <c r="JN36" s="1"/>
      <c r="JO36" s="1"/>
      <c r="JP36" s="1"/>
      <c r="JQ36" s="1"/>
      <c r="JR36" s="1"/>
      <c r="JS36" s="1"/>
      <c r="JT36" s="1"/>
      <c r="JU36" s="1"/>
      <c r="JV36" s="1"/>
      <c r="JW36" s="1"/>
      <c r="JX36" s="1"/>
      <c r="JY36" s="1"/>
      <c r="JZ36" s="1"/>
      <c r="KA36" s="1"/>
      <c r="KB36" s="1"/>
      <c r="KC36" s="1"/>
      <c r="KD36" s="1"/>
      <c r="KE36" s="1"/>
      <c r="KF36" s="1"/>
      <c r="KG36" s="1"/>
      <c r="KH36" s="1"/>
      <c r="KI36" s="1"/>
      <c r="KJ36" s="1"/>
      <c r="KK36" s="1"/>
      <c r="KL36" s="1"/>
      <c r="KM36" s="1"/>
      <c r="KN36" s="1"/>
      <c r="KO36" s="1"/>
      <c r="KP36" s="1"/>
      <c r="KQ36" s="1"/>
      <c r="KR36" s="1"/>
      <c r="KS36" s="1"/>
      <c r="KT36" s="1"/>
      <c r="KU36" s="1"/>
      <c r="KV36" s="1"/>
      <c r="KW36" s="1"/>
      <c r="KX36" s="1"/>
      <c r="KY36" s="1"/>
      <c r="KZ36" s="1"/>
      <c r="LA36" s="1"/>
      <c r="LB36" s="1"/>
      <c r="LC36" s="1"/>
      <c r="LD36" s="1"/>
      <c r="LE36" s="1"/>
      <c r="LF36" s="1"/>
      <c r="LG36" s="1"/>
      <c r="LH36" s="1"/>
      <c r="LI36" s="1"/>
      <c r="LJ36" s="1"/>
      <c r="LK36" s="1"/>
      <c r="LL36" s="1"/>
      <c r="LM36" s="1"/>
      <c r="LN36" s="1"/>
      <c r="LO36" s="1"/>
      <c r="LP36" s="1"/>
      <c r="LQ36" s="1"/>
      <c r="LR36" s="1"/>
      <c r="LS36" s="1"/>
      <c r="LT36" s="1"/>
      <c r="LU36" s="1"/>
      <c r="LV36" s="1"/>
      <c r="LW36" s="1"/>
      <c r="LX36" s="1"/>
      <c r="LY36" s="1"/>
      <c r="LZ36" s="1"/>
      <c r="MA36" s="1"/>
      <c r="MB36" s="1"/>
      <c r="MC36" s="1"/>
      <c r="MD36" s="1"/>
      <c r="ME36" s="1"/>
      <c r="MF36" s="1"/>
      <c r="MG36" s="1"/>
      <c r="MH36" s="1"/>
      <c r="MI36" s="1"/>
      <c r="MJ36" s="1"/>
      <c r="MK36" s="1"/>
      <c r="ML36" s="1"/>
      <c r="MM36" s="1"/>
      <c r="MN36" s="1"/>
      <c r="MO36" s="1"/>
      <c r="MP36" s="1"/>
      <c r="MQ36" s="1"/>
      <c r="MR36" s="1"/>
      <c r="MS36" s="1"/>
      <c r="MT36" s="1"/>
      <c r="MU36" s="1"/>
      <c r="MV36" s="1"/>
      <c r="MW36" s="1"/>
      <c r="MX36" s="1"/>
      <c r="MY36" s="1"/>
      <c r="MZ36" s="1" t="s">
        <v>190</v>
      </c>
      <c r="NA36" s="1"/>
      <c r="NB36" s="1"/>
      <c r="NC36" s="1"/>
      <c r="ND36" s="1"/>
      <c r="NE36" s="1"/>
      <c r="NF36" s="1"/>
      <c r="NG36" s="1"/>
      <c r="NH36" s="1"/>
      <c r="NI36" s="1"/>
      <c r="NK36" s="18">
        <f t="array" aca="1" ref="NK36" ca="1">SUMPRODUCT((OFFSET($A36,0,1,1,372)&lt;&gt;"")*(IF(OFFSET($A36,0,1,1,372)=$NX$16,0.5,IF(OFFSET($A36,0,1,1,372)=$NX$17,0.5,1))*(OFFSET($A$3,0,1,1,372))))</f>
        <v>1</v>
      </c>
      <c r="NL36" s="23">
        <f t="shared" ref="NL36:NU61" ca="1" si="9">SUMPRODUCT((OFFSET($A36,0,1,1,372)&lt;&gt;"")*(OFFSET($A$3,0,1,1,372))*((OFFSET($A36,0,1,1,372))=NL$5))</f>
        <v>0</v>
      </c>
      <c r="NM36" s="23">
        <f t="shared" ca="1" si="9"/>
        <v>0</v>
      </c>
      <c r="NN36" s="23">
        <f t="shared" ca="1" si="9"/>
        <v>0</v>
      </c>
      <c r="NO36" s="23">
        <f t="shared" ca="1" si="9"/>
        <v>0</v>
      </c>
      <c r="NP36" s="23">
        <f t="shared" ca="1" si="9"/>
        <v>0</v>
      </c>
      <c r="NQ36" s="23">
        <f t="shared" ca="1" si="9"/>
        <v>0</v>
      </c>
      <c r="NR36" s="23">
        <f t="shared" ca="1" si="9"/>
        <v>0</v>
      </c>
      <c r="NS36" s="23">
        <f t="shared" ca="1" si="9"/>
        <v>0</v>
      </c>
      <c r="NT36" s="23">
        <f t="shared" ca="1" si="9"/>
        <v>0</v>
      </c>
      <c r="NU36" s="23">
        <f t="shared" ca="1" si="9"/>
        <v>0</v>
      </c>
    </row>
    <row r="37" spans="1:388" x14ac:dyDescent="0.25">
      <c r="A37" s="1" t="s">
        <v>165</v>
      </c>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c r="IW37" s="1"/>
      <c r="IX37" s="1"/>
      <c r="IY37" s="1"/>
      <c r="IZ37" s="1"/>
      <c r="JA37" s="1"/>
      <c r="JB37" s="1"/>
      <c r="JC37" s="1"/>
      <c r="JD37" s="1"/>
      <c r="JE37" s="1"/>
      <c r="JF37" s="1"/>
      <c r="JG37" s="1"/>
      <c r="JH37" s="1"/>
      <c r="JI37" s="1"/>
      <c r="JJ37" s="1"/>
      <c r="JK37" s="1"/>
      <c r="JL37" s="1"/>
      <c r="JM37" s="1"/>
      <c r="JN37" s="1"/>
      <c r="JO37" s="1"/>
      <c r="JP37" s="1"/>
      <c r="JQ37" s="1"/>
      <c r="JR37" s="1"/>
      <c r="JS37" s="1"/>
      <c r="JT37" s="1"/>
      <c r="JU37" s="1"/>
      <c r="JV37" s="1"/>
      <c r="JW37" s="1"/>
      <c r="JX37" s="1"/>
      <c r="JY37" s="1"/>
      <c r="JZ37" s="1"/>
      <c r="KA37" s="1"/>
      <c r="KB37" s="1"/>
      <c r="KC37" s="1"/>
      <c r="KD37" s="1"/>
      <c r="KE37" s="1"/>
      <c r="KF37" s="1"/>
      <c r="KG37" s="1"/>
      <c r="KH37" s="1"/>
      <c r="KI37" s="1"/>
      <c r="KJ37" s="1"/>
      <c r="KK37" s="1"/>
      <c r="KL37" s="1"/>
      <c r="KM37" s="1"/>
      <c r="KN37" s="1"/>
      <c r="KO37" s="1"/>
      <c r="KP37" s="1"/>
      <c r="KQ37" s="1"/>
      <c r="KR37" s="1"/>
      <c r="KS37" s="1"/>
      <c r="KT37" s="1"/>
      <c r="KU37" s="1"/>
      <c r="KV37" s="1"/>
      <c r="KW37" s="1"/>
      <c r="KX37" s="1"/>
      <c r="KY37" s="1"/>
      <c r="KZ37" s="1"/>
      <c r="LA37" s="1"/>
      <c r="LB37" s="1"/>
      <c r="LC37" s="1"/>
      <c r="LD37" s="1"/>
      <c r="LE37" s="1"/>
      <c r="LF37" s="1"/>
      <c r="LG37" s="1"/>
      <c r="LH37" s="1"/>
      <c r="LI37" s="1"/>
      <c r="LJ37" s="1"/>
      <c r="LK37" s="1"/>
      <c r="LL37" s="1"/>
      <c r="LM37" s="1"/>
      <c r="LN37" s="1"/>
      <c r="LO37" s="1"/>
      <c r="LP37" s="1"/>
      <c r="LQ37" s="1"/>
      <c r="LR37" s="1"/>
      <c r="LS37" s="1"/>
      <c r="LT37" s="1"/>
      <c r="LU37" s="1"/>
      <c r="LV37" s="1"/>
      <c r="LW37" s="1"/>
      <c r="LX37" s="1"/>
      <c r="LY37" s="1"/>
      <c r="LZ37" s="1"/>
      <c r="MA37" s="1"/>
      <c r="MB37" s="1"/>
      <c r="MC37" s="1"/>
      <c r="MD37" s="1"/>
      <c r="ME37" s="1"/>
      <c r="MF37" s="1"/>
      <c r="MG37" s="1"/>
      <c r="MH37" s="1"/>
      <c r="MI37" s="1"/>
      <c r="MJ37" s="1"/>
      <c r="MK37" s="1"/>
      <c r="ML37" s="1"/>
      <c r="MM37" s="1"/>
      <c r="MN37" s="1"/>
      <c r="MO37" s="1"/>
      <c r="MP37" s="1"/>
      <c r="MQ37" s="1"/>
      <c r="MR37" s="1"/>
      <c r="MS37" s="1"/>
      <c r="MT37" s="1"/>
      <c r="MU37" s="1"/>
      <c r="MV37" s="1"/>
      <c r="MW37" s="1"/>
      <c r="MX37" s="1"/>
      <c r="MY37" s="1"/>
      <c r="MZ37" s="1" t="s">
        <v>37</v>
      </c>
      <c r="NA37" s="1"/>
      <c r="NB37" s="1"/>
      <c r="NC37" s="1"/>
      <c r="ND37" s="1"/>
      <c r="NE37" s="1"/>
      <c r="NF37" s="1"/>
      <c r="NG37" s="1"/>
      <c r="NH37" s="1"/>
      <c r="NI37" s="1"/>
      <c r="NK37" s="18">
        <f t="array" aca="1" ref="NK37" ca="1">SUMPRODUCT((OFFSET($A37,0,1,1,372)&lt;&gt;"")*(IF(OFFSET($A37,0,1,1,372)=$NX$16,0.5,IF(OFFSET($A37,0,1,1,372)=$NX$17,0.5,1))*(OFFSET($A$3,0,1,1,372))))</f>
        <v>1</v>
      </c>
      <c r="NL37" s="23">
        <f t="shared" ca="1" si="9"/>
        <v>0</v>
      </c>
      <c r="NM37" s="23">
        <f t="shared" ca="1" si="9"/>
        <v>0</v>
      </c>
      <c r="NN37" s="23">
        <f t="shared" ca="1" si="9"/>
        <v>0</v>
      </c>
      <c r="NO37" s="23">
        <f t="shared" ca="1" si="9"/>
        <v>1</v>
      </c>
      <c r="NP37" s="23">
        <f t="shared" ca="1" si="9"/>
        <v>0</v>
      </c>
      <c r="NQ37" s="23">
        <f t="shared" ca="1" si="9"/>
        <v>0</v>
      </c>
      <c r="NR37" s="23">
        <f t="shared" ca="1" si="9"/>
        <v>0</v>
      </c>
      <c r="NS37" s="23">
        <f t="shared" ca="1" si="9"/>
        <v>0</v>
      </c>
      <c r="NT37" s="23">
        <f t="shared" ca="1" si="9"/>
        <v>0</v>
      </c>
      <c r="NU37" s="23">
        <f t="shared" ca="1" si="9"/>
        <v>0</v>
      </c>
    </row>
    <row r="38" spans="1:388" x14ac:dyDescent="0.25">
      <c r="A38" s="1" t="s">
        <v>166</v>
      </c>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c r="IW38" s="1"/>
      <c r="IX38" s="1"/>
      <c r="IY38" s="1"/>
      <c r="IZ38" s="1"/>
      <c r="JA38" s="1"/>
      <c r="JB38" s="1"/>
      <c r="JC38" s="1"/>
      <c r="JD38" s="1"/>
      <c r="JE38" s="1"/>
      <c r="JF38" s="1"/>
      <c r="JG38" s="1"/>
      <c r="JH38" s="1"/>
      <c r="JI38" s="1"/>
      <c r="JJ38" s="1"/>
      <c r="JK38" s="1"/>
      <c r="JL38" s="1"/>
      <c r="JM38" s="1"/>
      <c r="JN38" s="1"/>
      <c r="JO38" s="1"/>
      <c r="JP38" s="1"/>
      <c r="JQ38" s="1"/>
      <c r="JR38" s="1"/>
      <c r="JS38" s="1"/>
      <c r="JT38" s="1"/>
      <c r="JU38" s="1"/>
      <c r="JV38" s="1"/>
      <c r="JW38" s="1"/>
      <c r="JX38" s="1"/>
      <c r="JY38" s="1"/>
      <c r="JZ38" s="1"/>
      <c r="KA38" s="1"/>
      <c r="KB38" s="1"/>
      <c r="KC38" s="1"/>
      <c r="KD38" s="1"/>
      <c r="KE38" s="1"/>
      <c r="KF38" s="1"/>
      <c r="KG38" s="1"/>
      <c r="KH38" s="1"/>
      <c r="KI38" s="1"/>
      <c r="KJ38" s="1"/>
      <c r="KK38" s="1"/>
      <c r="KL38" s="1"/>
      <c r="KM38" s="1"/>
      <c r="KN38" s="1"/>
      <c r="KO38" s="1"/>
      <c r="KP38" s="1"/>
      <c r="KQ38" s="1"/>
      <c r="KR38" s="1"/>
      <c r="KS38" s="1"/>
      <c r="KT38" s="1"/>
      <c r="KU38" s="1"/>
      <c r="KV38" s="1"/>
      <c r="KW38" s="1"/>
      <c r="KX38" s="1"/>
      <c r="KY38" s="1"/>
      <c r="KZ38" s="1"/>
      <c r="LA38" s="1"/>
      <c r="LB38" s="1"/>
      <c r="LC38" s="1"/>
      <c r="LD38" s="1"/>
      <c r="LE38" s="1"/>
      <c r="LF38" s="1"/>
      <c r="LG38" s="1"/>
      <c r="LH38" s="1"/>
      <c r="LI38" s="1"/>
      <c r="LJ38" s="1"/>
      <c r="LK38" s="1"/>
      <c r="LL38" s="1"/>
      <c r="LM38" s="1"/>
      <c r="LN38" s="1"/>
      <c r="LO38" s="1"/>
      <c r="LP38" s="1"/>
      <c r="LQ38" s="1"/>
      <c r="LR38" s="1"/>
      <c r="LS38" s="1"/>
      <c r="LT38" s="1"/>
      <c r="LU38" s="1"/>
      <c r="LV38" s="1"/>
      <c r="LW38" s="1"/>
      <c r="LX38" s="1"/>
      <c r="LY38" s="1"/>
      <c r="LZ38" s="1"/>
      <c r="MA38" s="1"/>
      <c r="MB38" s="1"/>
      <c r="MC38" s="1"/>
      <c r="MD38" s="1"/>
      <c r="ME38" s="1"/>
      <c r="MF38" s="1"/>
      <c r="MG38" s="1"/>
      <c r="MH38" s="1"/>
      <c r="MI38" s="1"/>
      <c r="MJ38" s="1"/>
      <c r="MK38" s="1"/>
      <c r="ML38" s="1"/>
      <c r="MM38" s="1"/>
      <c r="MN38" s="1"/>
      <c r="MO38" s="1"/>
      <c r="MP38" s="1"/>
      <c r="MQ38" s="1"/>
      <c r="MR38" s="1"/>
      <c r="MS38" s="1"/>
      <c r="MT38" s="1"/>
      <c r="MU38" s="1"/>
      <c r="MV38" s="1"/>
      <c r="MW38" s="1"/>
      <c r="MX38" s="1"/>
      <c r="MY38" s="1"/>
      <c r="MZ38" s="1" t="s">
        <v>37</v>
      </c>
      <c r="NA38" s="1"/>
      <c r="NB38" s="1"/>
      <c r="NC38" s="1"/>
      <c r="ND38" s="1"/>
      <c r="NE38" s="1"/>
      <c r="NF38" s="1"/>
      <c r="NG38" s="1"/>
      <c r="NH38" s="1"/>
      <c r="NI38" s="1"/>
      <c r="NK38" s="18">
        <f t="array" aca="1" ref="NK38" ca="1">SUMPRODUCT((OFFSET($A38,0,1,1,372)&lt;&gt;"")*(IF(OFFSET($A38,0,1,1,372)=$NX$16,0.5,IF(OFFSET($A38,0,1,1,372)=$NX$17,0.5,1))*(OFFSET($A$3,0,1,1,372))))</f>
        <v>1</v>
      </c>
      <c r="NL38" s="23">
        <f t="shared" ca="1" si="9"/>
        <v>0</v>
      </c>
      <c r="NM38" s="23">
        <f t="shared" ca="1" si="9"/>
        <v>0</v>
      </c>
      <c r="NN38" s="23">
        <f t="shared" ca="1" si="9"/>
        <v>0</v>
      </c>
      <c r="NO38" s="23">
        <f t="shared" ca="1" si="9"/>
        <v>1</v>
      </c>
      <c r="NP38" s="23">
        <f t="shared" ca="1" si="9"/>
        <v>0</v>
      </c>
      <c r="NQ38" s="23">
        <f t="shared" ca="1" si="9"/>
        <v>0</v>
      </c>
      <c r="NR38" s="23">
        <f t="shared" ca="1" si="9"/>
        <v>0</v>
      </c>
      <c r="NS38" s="23">
        <f t="shared" ca="1" si="9"/>
        <v>0</v>
      </c>
      <c r="NT38" s="23">
        <f t="shared" ca="1" si="9"/>
        <v>0</v>
      </c>
      <c r="NU38" s="23">
        <f t="shared" ca="1" si="9"/>
        <v>0</v>
      </c>
    </row>
    <row r="39" spans="1:388" x14ac:dyDescent="0.25">
      <c r="A39" s="1" t="s">
        <v>167</v>
      </c>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c r="IW39" s="1"/>
      <c r="IX39" s="1"/>
      <c r="IY39" s="1"/>
      <c r="IZ39" s="1"/>
      <c r="JA39" s="1"/>
      <c r="JB39" s="1"/>
      <c r="JC39" s="1"/>
      <c r="JD39" s="1"/>
      <c r="JE39" s="1"/>
      <c r="JF39" s="1"/>
      <c r="JG39" s="1"/>
      <c r="JH39" s="1"/>
      <c r="JI39" s="1"/>
      <c r="JJ39" s="1"/>
      <c r="JK39" s="1"/>
      <c r="JL39" s="1"/>
      <c r="JM39" s="1"/>
      <c r="JN39" s="1"/>
      <c r="JO39" s="1"/>
      <c r="JP39" s="1"/>
      <c r="JQ39" s="1"/>
      <c r="JR39" s="1"/>
      <c r="JS39" s="1"/>
      <c r="JT39" s="1"/>
      <c r="JU39" s="1"/>
      <c r="JV39" s="1"/>
      <c r="JW39" s="1"/>
      <c r="JX39" s="1"/>
      <c r="JY39" s="1"/>
      <c r="JZ39" s="1"/>
      <c r="KA39" s="1"/>
      <c r="KB39" s="1"/>
      <c r="KC39" s="1"/>
      <c r="KD39" s="1"/>
      <c r="KE39" s="1"/>
      <c r="KF39" s="1"/>
      <c r="KG39" s="1"/>
      <c r="KH39" s="1"/>
      <c r="KI39" s="1"/>
      <c r="KJ39" s="1"/>
      <c r="KK39" s="1"/>
      <c r="KL39" s="1"/>
      <c r="KM39" s="1"/>
      <c r="KN39" s="1"/>
      <c r="KO39" s="1"/>
      <c r="KP39" s="1"/>
      <c r="KQ39" s="1"/>
      <c r="KR39" s="1"/>
      <c r="KS39" s="1"/>
      <c r="KT39" s="1"/>
      <c r="KU39" s="1"/>
      <c r="KV39" s="1"/>
      <c r="KW39" s="1"/>
      <c r="KX39" s="1"/>
      <c r="KY39" s="1"/>
      <c r="KZ39" s="1"/>
      <c r="LA39" s="1"/>
      <c r="LB39" s="1"/>
      <c r="LC39" s="1"/>
      <c r="LD39" s="1"/>
      <c r="LE39" s="1"/>
      <c r="LF39" s="1"/>
      <c r="LG39" s="1"/>
      <c r="LH39" s="1"/>
      <c r="LI39" s="1"/>
      <c r="LJ39" s="1"/>
      <c r="LK39" s="1"/>
      <c r="LL39" s="1"/>
      <c r="LM39" s="1"/>
      <c r="LN39" s="1"/>
      <c r="LO39" s="1"/>
      <c r="LP39" s="1"/>
      <c r="LQ39" s="1"/>
      <c r="LR39" s="1"/>
      <c r="LS39" s="1"/>
      <c r="LT39" s="1"/>
      <c r="LU39" s="1"/>
      <c r="LV39" s="1"/>
      <c r="LW39" s="1"/>
      <c r="LX39" s="1"/>
      <c r="LY39" s="1"/>
      <c r="LZ39" s="1"/>
      <c r="MA39" s="1"/>
      <c r="MB39" s="1"/>
      <c r="MC39" s="1"/>
      <c r="MD39" s="1"/>
      <c r="ME39" s="1"/>
      <c r="MF39" s="1"/>
      <c r="MG39" s="1"/>
      <c r="MH39" s="1"/>
      <c r="MI39" s="1"/>
      <c r="MJ39" s="1"/>
      <c r="MK39" s="1"/>
      <c r="ML39" s="1"/>
      <c r="MM39" s="1"/>
      <c r="MN39" s="1"/>
      <c r="MO39" s="1"/>
      <c r="MP39" s="1"/>
      <c r="MQ39" s="1"/>
      <c r="MR39" s="1"/>
      <c r="MS39" s="1"/>
      <c r="MT39" s="1"/>
      <c r="MU39" s="1"/>
      <c r="MV39" s="1"/>
      <c r="MW39" s="1"/>
      <c r="MX39" s="1"/>
      <c r="MY39" s="1"/>
      <c r="MZ39" s="1" t="s">
        <v>37</v>
      </c>
      <c r="NA39" s="1"/>
      <c r="NB39" s="1"/>
      <c r="NC39" s="1"/>
      <c r="ND39" s="1"/>
      <c r="NE39" s="1"/>
      <c r="NF39" s="1"/>
      <c r="NG39" s="1"/>
      <c r="NH39" s="1"/>
      <c r="NI39" s="1"/>
      <c r="NK39" s="18">
        <f t="array" aca="1" ref="NK39" ca="1">SUMPRODUCT((OFFSET($A39,0,1,1,372)&lt;&gt;"")*(IF(OFFSET($A39,0,1,1,372)=$NX$16,0.5,IF(OFFSET($A39,0,1,1,372)=$NX$17,0.5,1))*(OFFSET($A$3,0,1,1,372))))</f>
        <v>1</v>
      </c>
      <c r="NL39" s="23">
        <f t="shared" ca="1" si="9"/>
        <v>0</v>
      </c>
      <c r="NM39" s="23">
        <f t="shared" ca="1" si="9"/>
        <v>0</v>
      </c>
      <c r="NN39" s="23">
        <f t="shared" ca="1" si="9"/>
        <v>0</v>
      </c>
      <c r="NO39" s="23">
        <f t="shared" ca="1" si="9"/>
        <v>1</v>
      </c>
      <c r="NP39" s="23">
        <f t="shared" ca="1" si="9"/>
        <v>0</v>
      </c>
      <c r="NQ39" s="23">
        <f t="shared" ca="1" si="9"/>
        <v>0</v>
      </c>
      <c r="NR39" s="23">
        <f t="shared" ca="1" si="9"/>
        <v>0</v>
      </c>
      <c r="NS39" s="23">
        <f t="shared" ca="1" si="9"/>
        <v>0</v>
      </c>
      <c r="NT39" s="23">
        <f t="shared" ca="1" si="9"/>
        <v>0</v>
      </c>
      <c r="NU39" s="23">
        <f t="shared" ca="1" si="9"/>
        <v>0</v>
      </c>
    </row>
    <row r="40" spans="1:388" x14ac:dyDescent="0.25">
      <c r="A40" s="1" t="s">
        <v>168</v>
      </c>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c r="JA40" s="1"/>
      <c r="JB40" s="1"/>
      <c r="JC40" s="1"/>
      <c r="JD40" s="1"/>
      <c r="JE40" s="1"/>
      <c r="JF40" s="1"/>
      <c r="JG40" s="1"/>
      <c r="JH40" s="1"/>
      <c r="JI40" s="1"/>
      <c r="JJ40" s="1"/>
      <c r="JK40" s="1"/>
      <c r="JL40" s="1"/>
      <c r="JM40" s="1"/>
      <c r="JN40" s="1"/>
      <c r="JO40" s="1"/>
      <c r="JP40" s="1"/>
      <c r="JQ40" s="1"/>
      <c r="JR40" s="1"/>
      <c r="JS40" s="1"/>
      <c r="JT40" s="1"/>
      <c r="JU40" s="1"/>
      <c r="JV40" s="1"/>
      <c r="JW40" s="1"/>
      <c r="JX40" s="1"/>
      <c r="JY40" s="1"/>
      <c r="JZ40" s="1"/>
      <c r="KA40" s="1"/>
      <c r="KB40" s="1"/>
      <c r="KC40" s="1"/>
      <c r="KD40" s="1"/>
      <c r="KE40" s="1"/>
      <c r="KF40" s="1"/>
      <c r="KG40" s="1"/>
      <c r="KH40" s="1"/>
      <c r="KI40" s="1"/>
      <c r="KJ40" s="1"/>
      <c r="KK40" s="1"/>
      <c r="KL40" s="1"/>
      <c r="KM40" s="1"/>
      <c r="KN40" s="1"/>
      <c r="KO40" s="1"/>
      <c r="KP40" s="1"/>
      <c r="KQ40" s="1"/>
      <c r="KR40" s="1"/>
      <c r="KS40" s="1"/>
      <c r="KT40" s="1"/>
      <c r="KU40" s="1"/>
      <c r="KV40" s="1"/>
      <c r="KW40" s="1"/>
      <c r="KX40" s="1"/>
      <c r="KY40" s="1"/>
      <c r="KZ40" s="1"/>
      <c r="LA40" s="1"/>
      <c r="LB40" s="1"/>
      <c r="LC40" s="1"/>
      <c r="LD40" s="1"/>
      <c r="LE40" s="1"/>
      <c r="LF40" s="1"/>
      <c r="LG40" s="1"/>
      <c r="LH40" s="1"/>
      <c r="LI40" s="1"/>
      <c r="LJ40" s="1"/>
      <c r="LK40" s="1"/>
      <c r="LL40" s="1"/>
      <c r="LM40" s="1"/>
      <c r="LN40" s="1"/>
      <c r="LO40" s="1"/>
      <c r="LP40" s="1"/>
      <c r="LQ40" s="1"/>
      <c r="LR40" s="1"/>
      <c r="LS40" s="1"/>
      <c r="LT40" s="1"/>
      <c r="LU40" s="1"/>
      <c r="LV40" s="1"/>
      <c r="LW40" s="1"/>
      <c r="LX40" s="1"/>
      <c r="LY40" s="1"/>
      <c r="LZ40" s="1"/>
      <c r="MA40" s="1"/>
      <c r="MB40" s="1"/>
      <c r="MC40" s="1"/>
      <c r="MD40" s="1"/>
      <c r="ME40" s="1"/>
      <c r="MF40" s="1"/>
      <c r="MG40" s="1"/>
      <c r="MH40" s="1"/>
      <c r="MI40" s="1"/>
      <c r="MJ40" s="1"/>
      <c r="MK40" s="1"/>
      <c r="ML40" s="1"/>
      <c r="MM40" s="1"/>
      <c r="MN40" s="1"/>
      <c r="MO40" s="1"/>
      <c r="MP40" s="1"/>
      <c r="MQ40" s="1"/>
      <c r="MR40" s="1"/>
      <c r="MS40" s="1"/>
      <c r="MT40" s="1"/>
      <c r="MU40" s="1"/>
      <c r="MV40" s="1"/>
      <c r="MW40" s="1"/>
      <c r="MX40" s="1"/>
      <c r="MY40" s="1"/>
      <c r="MZ40" s="1" t="s">
        <v>37</v>
      </c>
      <c r="NA40" s="1"/>
      <c r="NB40" s="1"/>
      <c r="NC40" s="1"/>
      <c r="ND40" s="1"/>
      <c r="NE40" s="1"/>
      <c r="NF40" s="1"/>
      <c r="NG40" s="1"/>
      <c r="NH40" s="1"/>
      <c r="NI40" s="1"/>
      <c r="NK40" s="18">
        <f t="array" aca="1" ref="NK40" ca="1">SUMPRODUCT((OFFSET($A40,0,1,1,372)&lt;&gt;"")*(IF(OFFSET($A40,0,1,1,372)=$NX$16,0.5,IF(OFFSET($A40,0,1,1,372)=$NX$17,0.5,1))*(OFFSET($A$3,0,1,1,372))))</f>
        <v>1</v>
      </c>
      <c r="NL40" s="23">
        <f t="shared" ca="1" si="9"/>
        <v>0</v>
      </c>
      <c r="NM40" s="23">
        <f t="shared" ca="1" si="9"/>
        <v>0</v>
      </c>
      <c r="NN40" s="23">
        <f t="shared" ca="1" si="9"/>
        <v>0</v>
      </c>
      <c r="NO40" s="23">
        <f t="shared" ca="1" si="9"/>
        <v>1</v>
      </c>
      <c r="NP40" s="23">
        <f t="shared" ca="1" si="9"/>
        <v>0</v>
      </c>
      <c r="NQ40" s="23">
        <f t="shared" ca="1" si="9"/>
        <v>0</v>
      </c>
      <c r="NR40" s="23">
        <f t="shared" ca="1" si="9"/>
        <v>0</v>
      </c>
      <c r="NS40" s="23">
        <f t="shared" ca="1" si="9"/>
        <v>0</v>
      </c>
      <c r="NT40" s="23">
        <f t="shared" ca="1" si="9"/>
        <v>0</v>
      </c>
      <c r="NU40" s="23">
        <f t="shared" ca="1" si="9"/>
        <v>0</v>
      </c>
    </row>
    <row r="41" spans="1:388" x14ac:dyDescent="0.25">
      <c r="A41" s="1" t="s">
        <v>169</v>
      </c>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c r="GF41" s="1"/>
      <c r="GG41" s="1"/>
      <c r="GH41" s="1"/>
      <c r="GI41" s="1"/>
      <c r="GJ41" s="1"/>
      <c r="GK41" s="1"/>
      <c r="GL41" s="1"/>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1"/>
      <c r="HQ41" s="1"/>
      <c r="HR41" s="1"/>
      <c r="HS41" s="1"/>
      <c r="HT41" s="1"/>
      <c r="HU41" s="1"/>
      <c r="HV41" s="1"/>
      <c r="HW41" s="1"/>
      <c r="HX41" s="1"/>
      <c r="HY41" s="1"/>
      <c r="HZ41" s="1"/>
      <c r="IA41" s="1"/>
      <c r="IB41" s="1"/>
      <c r="IC41" s="1"/>
      <c r="ID41" s="1"/>
      <c r="IE41" s="1"/>
      <c r="IF41" s="1"/>
      <c r="IG41" s="1"/>
      <c r="IH41" s="1"/>
      <c r="II41" s="1"/>
      <c r="IJ41" s="1"/>
      <c r="IK41" s="1"/>
      <c r="IL41" s="1"/>
      <c r="IM41" s="1"/>
      <c r="IN41" s="1"/>
      <c r="IO41" s="1"/>
      <c r="IP41" s="1"/>
      <c r="IQ41" s="1"/>
      <c r="IR41" s="1"/>
      <c r="IS41" s="1"/>
      <c r="IT41" s="1"/>
      <c r="IU41" s="1"/>
      <c r="IV41" s="1"/>
      <c r="IW41" s="1"/>
      <c r="IX41" s="1"/>
      <c r="IY41" s="1"/>
      <c r="IZ41" s="1"/>
      <c r="JA41" s="1"/>
      <c r="JB41" s="1"/>
      <c r="JC41" s="1"/>
      <c r="JD41" s="1"/>
      <c r="JE41" s="1"/>
      <c r="JF41" s="1"/>
      <c r="JG41" s="1"/>
      <c r="JH41" s="1"/>
      <c r="JI41" s="1"/>
      <c r="JJ41" s="1"/>
      <c r="JK41" s="1"/>
      <c r="JL41" s="1"/>
      <c r="JM41" s="1"/>
      <c r="JN41" s="1"/>
      <c r="JO41" s="1"/>
      <c r="JP41" s="1"/>
      <c r="JQ41" s="1"/>
      <c r="JR41" s="1"/>
      <c r="JS41" s="1"/>
      <c r="JT41" s="1"/>
      <c r="JU41" s="1"/>
      <c r="JV41" s="1"/>
      <c r="JW41" s="1"/>
      <c r="JX41" s="1"/>
      <c r="JY41" s="1"/>
      <c r="JZ41" s="1"/>
      <c r="KA41" s="1"/>
      <c r="KB41" s="1"/>
      <c r="KC41" s="1"/>
      <c r="KD41" s="1"/>
      <c r="KE41" s="1"/>
      <c r="KF41" s="1"/>
      <c r="KG41" s="1"/>
      <c r="KH41" s="1"/>
      <c r="KI41" s="1"/>
      <c r="KJ41" s="1"/>
      <c r="KK41" s="1"/>
      <c r="KL41" s="1"/>
      <c r="KM41" s="1"/>
      <c r="KN41" s="1"/>
      <c r="KO41" s="1"/>
      <c r="KP41" s="1"/>
      <c r="KQ41" s="1"/>
      <c r="KR41" s="1"/>
      <c r="KS41" s="1"/>
      <c r="KT41" s="1"/>
      <c r="KU41" s="1"/>
      <c r="KV41" s="1"/>
      <c r="KW41" s="1"/>
      <c r="KX41" s="1"/>
      <c r="KY41" s="1"/>
      <c r="KZ41" s="1"/>
      <c r="LA41" s="1"/>
      <c r="LB41" s="1"/>
      <c r="LC41" s="1"/>
      <c r="LD41" s="1"/>
      <c r="LE41" s="1"/>
      <c r="LF41" s="1"/>
      <c r="LG41" s="1"/>
      <c r="LH41" s="1"/>
      <c r="LI41" s="1"/>
      <c r="LJ41" s="1"/>
      <c r="LK41" s="1"/>
      <c r="LL41" s="1"/>
      <c r="LM41" s="1"/>
      <c r="LN41" s="1"/>
      <c r="LO41" s="1"/>
      <c r="LP41" s="1"/>
      <c r="LQ41" s="1"/>
      <c r="LR41" s="1"/>
      <c r="LS41" s="1"/>
      <c r="LT41" s="1"/>
      <c r="LU41" s="1"/>
      <c r="LV41" s="1"/>
      <c r="LW41" s="1"/>
      <c r="LX41" s="1"/>
      <c r="LY41" s="1"/>
      <c r="LZ41" s="1"/>
      <c r="MA41" s="1"/>
      <c r="MB41" s="1"/>
      <c r="MC41" s="1"/>
      <c r="MD41" s="1"/>
      <c r="ME41" s="1"/>
      <c r="MF41" s="1"/>
      <c r="MG41" s="1"/>
      <c r="MH41" s="1"/>
      <c r="MI41" s="1"/>
      <c r="MJ41" s="1"/>
      <c r="MK41" s="1"/>
      <c r="ML41" s="1"/>
      <c r="MM41" s="1"/>
      <c r="MN41" s="1"/>
      <c r="MO41" s="1"/>
      <c r="MP41" s="1"/>
      <c r="MQ41" s="1"/>
      <c r="MR41" s="1"/>
      <c r="MS41" s="1"/>
      <c r="MT41" s="1"/>
      <c r="MU41" s="1"/>
      <c r="MV41" s="1"/>
      <c r="MW41" s="1"/>
      <c r="MX41" s="1"/>
      <c r="MY41" s="1"/>
      <c r="MZ41" s="1" t="s">
        <v>37</v>
      </c>
      <c r="NA41" s="1"/>
      <c r="NB41" s="1"/>
      <c r="NC41" s="1"/>
      <c r="ND41" s="1"/>
      <c r="NE41" s="1"/>
      <c r="NF41" s="1"/>
      <c r="NG41" s="1"/>
      <c r="NH41" s="1"/>
      <c r="NI41" s="1"/>
      <c r="NK41" s="18">
        <f t="array" aca="1" ref="NK41" ca="1">SUMPRODUCT((OFFSET($A41,0,1,1,372)&lt;&gt;"")*(IF(OFFSET($A41,0,1,1,372)=$NX$16,0.5,IF(OFFSET($A41,0,1,1,372)=$NX$17,0.5,1))*(OFFSET($A$3,0,1,1,372))))</f>
        <v>1</v>
      </c>
      <c r="NL41" s="23">
        <f t="shared" ca="1" si="9"/>
        <v>0</v>
      </c>
      <c r="NM41" s="23">
        <f t="shared" ca="1" si="9"/>
        <v>0</v>
      </c>
      <c r="NN41" s="23">
        <f t="shared" ca="1" si="9"/>
        <v>0</v>
      </c>
      <c r="NO41" s="23">
        <f t="shared" ca="1" si="9"/>
        <v>1</v>
      </c>
      <c r="NP41" s="23">
        <f t="shared" ca="1" si="9"/>
        <v>0</v>
      </c>
      <c r="NQ41" s="23">
        <f t="shared" ca="1" si="9"/>
        <v>0</v>
      </c>
      <c r="NR41" s="23">
        <f t="shared" ca="1" si="9"/>
        <v>0</v>
      </c>
      <c r="NS41" s="23">
        <f t="shared" ca="1" si="9"/>
        <v>0</v>
      </c>
      <c r="NT41" s="23">
        <f t="shared" ca="1" si="9"/>
        <v>0</v>
      </c>
      <c r="NU41" s="23">
        <f t="shared" ca="1" si="9"/>
        <v>0</v>
      </c>
    </row>
    <row r="42" spans="1:388" x14ac:dyDescent="0.25">
      <c r="A42" s="1" t="s">
        <v>170</v>
      </c>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c r="GF42" s="1"/>
      <c r="GG42" s="1"/>
      <c r="GH42" s="1"/>
      <c r="GI42" s="1"/>
      <c r="GJ42" s="1"/>
      <c r="GK42" s="1"/>
      <c r="GL42" s="1"/>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1"/>
      <c r="HQ42" s="1"/>
      <c r="HR42" s="1"/>
      <c r="HS42" s="1"/>
      <c r="HT42" s="1"/>
      <c r="HU42" s="1"/>
      <c r="HV42" s="1"/>
      <c r="HW42" s="1"/>
      <c r="HX42" s="1"/>
      <c r="HY42" s="1"/>
      <c r="HZ42" s="1"/>
      <c r="IA42" s="1"/>
      <c r="IB42" s="1"/>
      <c r="IC42" s="1"/>
      <c r="ID42" s="1"/>
      <c r="IE42" s="1"/>
      <c r="IF42" s="1"/>
      <c r="IG42" s="1"/>
      <c r="IH42" s="1"/>
      <c r="II42" s="1"/>
      <c r="IJ42" s="1"/>
      <c r="IK42" s="1"/>
      <c r="IL42" s="1"/>
      <c r="IM42" s="1"/>
      <c r="IN42" s="1"/>
      <c r="IO42" s="1"/>
      <c r="IP42" s="1"/>
      <c r="IQ42" s="1"/>
      <c r="IR42" s="1"/>
      <c r="IS42" s="1"/>
      <c r="IT42" s="1"/>
      <c r="IU42" s="1"/>
      <c r="IV42" s="1"/>
      <c r="IW42" s="1"/>
      <c r="IX42" s="1"/>
      <c r="IY42" s="1"/>
      <c r="IZ42" s="1"/>
      <c r="JA42" s="1"/>
      <c r="JB42" s="1"/>
      <c r="JC42" s="1"/>
      <c r="JD42" s="1"/>
      <c r="JE42" s="1"/>
      <c r="JF42" s="1"/>
      <c r="JG42" s="1"/>
      <c r="JH42" s="1"/>
      <c r="JI42" s="1"/>
      <c r="JJ42" s="1"/>
      <c r="JK42" s="1"/>
      <c r="JL42" s="1"/>
      <c r="JM42" s="1"/>
      <c r="JN42" s="1"/>
      <c r="JO42" s="1"/>
      <c r="JP42" s="1"/>
      <c r="JQ42" s="1"/>
      <c r="JR42" s="1"/>
      <c r="JS42" s="1"/>
      <c r="JT42" s="1"/>
      <c r="JU42" s="1"/>
      <c r="JV42" s="1"/>
      <c r="JW42" s="1"/>
      <c r="JX42" s="1"/>
      <c r="JY42" s="1"/>
      <c r="JZ42" s="1"/>
      <c r="KA42" s="1"/>
      <c r="KB42" s="1"/>
      <c r="KC42" s="1"/>
      <c r="KD42" s="1"/>
      <c r="KE42" s="1"/>
      <c r="KF42" s="1"/>
      <c r="KG42" s="1"/>
      <c r="KH42" s="1"/>
      <c r="KI42" s="1"/>
      <c r="KJ42" s="1"/>
      <c r="KK42" s="1"/>
      <c r="KL42" s="1"/>
      <c r="KM42" s="1"/>
      <c r="KN42" s="1"/>
      <c r="KO42" s="1"/>
      <c r="KP42" s="1"/>
      <c r="KQ42" s="1"/>
      <c r="KR42" s="1"/>
      <c r="KS42" s="1"/>
      <c r="KT42" s="1"/>
      <c r="KU42" s="1"/>
      <c r="KV42" s="1"/>
      <c r="KW42" s="1"/>
      <c r="KX42" s="1"/>
      <c r="KY42" s="1"/>
      <c r="KZ42" s="1"/>
      <c r="LA42" s="1"/>
      <c r="LB42" s="1"/>
      <c r="LC42" s="1"/>
      <c r="LD42" s="1"/>
      <c r="LE42" s="1"/>
      <c r="LF42" s="1"/>
      <c r="LG42" s="1"/>
      <c r="LH42" s="1"/>
      <c r="LI42" s="1"/>
      <c r="LJ42" s="1"/>
      <c r="LK42" s="1"/>
      <c r="LL42" s="1"/>
      <c r="LM42" s="1"/>
      <c r="LN42" s="1"/>
      <c r="LO42" s="1"/>
      <c r="LP42" s="1"/>
      <c r="LQ42" s="1"/>
      <c r="LR42" s="1"/>
      <c r="LS42" s="1"/>
      <c r="LT42" s="1"/>
      <c r="LU42" s="1"/>
      <c r="LV42" s="1"/>
      <c r="LW42" s="1"/>
      <c r="LX42" s="1"/>
      <c r="LY42" s="1"/>
      <c r="LZ42" s="1"/>
      <c r="MA42" s="1"/>
      <c r="MB42" s="1"/>
      <c r="MC42" s="1"/>
      <c r="MD42" s="1"/>
      <c r="ME42" s="1"/>
      <c r="MF42" s="1"/>
      <c r="MG42" s="1"/>
      <c r="MH42" s="1"/>
      <c r="MI42" s="1"/>
      <c r="MJ42" s="1"/>
      <c r="MK42" s="1"/>
      <c r="ML42" s="1"/>
      <c r="MM42" s="1"/>
      <c r="MN42" s="1"/>
      <c r="MO42" s="1"/>
      <c r="MP42" s="1"/>
      <c r="MQ42" s="1"/>
      <c r="MR42" s="1"/>
      <c r="MS42" s="1"/>
      <c r="MT42" s="1"/>
      <c r="MU42" s="1"/>
      <c r="MV42" s="1"/>
      <c r="MW42" s="1"/>
      <c r="MX42" s="1"/>
      <c r="MY42" s="1"/>
      <c r="MZ42" s="1" t="s">
        <v>37</v>
      </c>
      <c r="NA42" s="1"/>
      <c r="NB42" s="1"/>
      <c r="NC42" s="1"/>
      <c r="ND42" s="1"/>
      <c r="NE42" s="1"/>
      <c r="NF42" s="1"/>
      <c r="NG42" s="1"/>
      <c r="NH42" s="1"/>
      <c r="NI42" s="1"/>
      <c r="NK42" s="18">
        <f t="array" aca="1" ref="NK42" ca="1">SUMPRODUCT((OFFSET($A42,0,1,1,372)&lt;&gt;"")*(IF(OFFSET($A42,0,1,1,372)=$NX$16,0.5,IF(OFFSET($A42,0,1,1,372)=$NX$17,0.5,1))*(OFFSET($A$3,0,1,1,372))))</f>
        <v>1</v>
      </c>
      <c r="NL42" s="23">
        <f t="shared" ca="1" si="9"/>
        <v>0</v>
      </c>
      <c r="NM42" s="23">
        <f t="shared" ca="1" si="9"/>
        <v>0</v>
      </c>
      <c r="NN42" s="23">
        <f t="shared" ca="1" si="9"/>
        <v>0</v>
      </c>
      <c r="NO42" s="23">
        <f t="shared" ca="1" si="9"/>
        <v>1</v>
      </c>
      <c r="NP42" s="23">
        <f t="shared" ca="1" si="9"/>
        <v>0</v>
      </c>
      <c r="NQ42" s="23">
        <f t="shared" ca="1" si="9"/>
        <v>0</v>
      </c>
      <c r="NR42" s="23">
        <f t="shared" ca="1" si="9"/>
        <v>0</v>
      </c>
      <c r="NS42" s="23">
        <f t="shared" ca="1" si="9"/>
        <v>0</v>
      </c>
      <c r="NT42" s="23">
        <f t="shared" ca="1" si="9"/>
        <v>0</v>
      </c>
      <c r="NU42" s="23">
        <f t="shared" ca="1" si="9"/>
        <v>0</v>
      </c>
    </row>
    <row r="43" spans="1:388" x14ac:dyDescent="0.25">
      <c r="A43" s="1" t="s">
        <v>171</v>
      </c>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c r="GF43" s="1"/>
      <c r="GG43" s="1"/>
      <c r="GH43" s="1"/>
      <c r="GI43" s="1"/>
      <c r="GJ43" s="1"/>
      <c r="GK43" s="1"/>
      <c r="GL43" s="1"/>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1"/>
      <c r="HQ43" s="1"/>
      <c r="HR43" s="1"/>
      <c r="HS43" s="1"/>
      <c r="HT43" s="1"/>
      <c r="HU43" s="1"/>
      <c r="HV43" s="1"/>
      <c r="HW43" s="1"/>
      <c r="HX43" s="1"/>
      <c r="HY43" s="1"/>
      <c r="HZ43" s="1"/>
      <c r="IA43" s="1"/>
      <c r="IB43" s="1"/>
      <c r="IC43" s="1"/>
      <c r="ID43" s="1"/>
      <c r="IE43" s="1"/>
      <c r="IF43" s="1"/>
      <c r="IG43" s="1"/>
      <c r="IH43" s="1"/>
      <c r="II43" s="1"/>
      <c r="IJ43" s="1"/>
      <c r="IK43" s="1"/>
      <c r="IL43" s="1"/>
      <c r="IM43" s="1"/>
      <c r="IN43" s="1"/>
      <c r="IO43" s="1"/>
      <c r="IP43" s="1"/>
      <c r="IQ43" s="1"/>
      <c r="IR43" s="1"/>
      <c r="IS43" s="1"/>
      <c r="IT43" s="1"/>
      <c r="IU43" s="1"/>
      <c r="IV43" s="1"/>
      <c r="IW43" s="1"/>
      <c r="IX43" s="1"/>
      <c r="IY43" s="1"/>
      <c r="IZ43" s="1"/>
      <c r="JA43" s="1"/>
      <c r="JB43" s="1"/>
      <c r="JC43" s="1"/>
      <c r="JD43" s="1"/>
      <c r="JE43" s="1"/>
      <c r="JF43" s="1"/>
      <c r="JG43" s="1"/>
      <c r="JH43" s="1"/>
      <c r="JI43" s="1"/>
      <c r="JJ43" s="1"/>
      <c r="JK43" s="1"/>
      <c r="JL43" s="1"/>
      <c r="JM43" s="1"/>
      <c r="JN43" s="1"/>
      <c r="JO43" s="1"/>
      <c r="JP43" s="1"/>
      <c r="JQ43" s="1"/>
      <c r="JR43" s="1"/>
      <c r="JS43" s="1"/>
      <c r="JT43" s="1"/>
      <c r="JU43" s="1"/>
      <c r="JV43" s="1"/>
      <c r="JW43" s="1"/>
      <c r="JX43" s="1"/>
      <c r="JY43" s="1"/>
      <c r="JZ43" s="1"/>
      <c r="KA43" s="1"/>
      <c r="KB43" s="1"/>
      <c r="KC43" s="1"/>
      <c r="KD43" s="1"/>
      <c r="KE43" s="1"/>
      <c r="KF43" s="1"/>
      <c r="KG43" s="1"/>
      <c r="KH43" s="1"/>
      <c r="KI43" s="1"/>
      <c r="KJ43" s="1"/>
      <c r="KK43" s="1"/>
      <c r="KL43" s="1"/>
      <c r="KM43" s="1"/>
      <c r="KN43" s="1"/>
      <c r="KO43" s="1"/>
      <c r="KP43" s="1"/>
      <c r="KQ43" s="1"/>
      <c r="KR43" s="1"/>
      <c r="KS43" s="1"/>
      <c r="KT43" s="1"/>
      <c r="KU43" s="1"/>
      <c r="KV43" s="1"/>
      <c r="KW43" s="1"/>
      <c r="KX43" s="1"/>
      <c r="KY43" s="1"/>
      <c r="KZ43" s="1"/>
      <c r="LA43" s="1"/>
      <c r="LB43" s="1"/>
      <c r="LC43" s="1"/>
      <c r="LD43" s="1"/>
      <c r="LE43" s="1"/>
      <c r="LF43" s="1"/>
      <c r="LG43" s="1"/>
      <c r="LH43" s="1"/>
      <c r="LI43" s="1"/>
      <c r="LJ43" s="1"/>
      <c r="LK43" s="1"/>
      <c r="LL43" s="1"/>
      <c r="LM43" s="1"/>
      <c r="LN43" s="1"/>
      <c r="LO43" s="1"/>
      <c r="LP43" s="1"/>
      <c r="LQ43" s="1"/>
      <c r="LR43" s="1"/>
      <c r="LS43" s="1"/>
      <c r="LT43" s="1"/>
      <c r="LU43" s="1"/>
      <c r="LV43" s="1"/>
      <c r="LW43" s="1"/>
      <c r="LX43" s="1"/>
      <c r="LY43" s="1"/>
      <c r="LZ43" s="1"/>
      <c r="MA43" s="1"/>
      <c r="MB43" s="1"/>
      <c r="MC43" s="1"/>
      <c r="MD43" s="1"/>
      <c r="ME43" s="1"/>
      <c r="MF43" s="1"/>
      <c r="MG43" s="1"/>
      <c r="MH43" s="1"/>
      <c r="MI43" s="1"/>
      <c r="MJ43" s="1"/>
      <c r="MK43" s="1"/>
      <c r="ML43" s="1"/>
      <c r="MM43" s="1"/>
      <c r="MN43" s="1"/>
      <c r="MO43" s="1"/>
      <c r="MP43" s="1"/>
      <c r="MQ43" s="1"/>
      <c r="MR43" s="1"/>
      <c r="MS43" s="1"/>
      <c r="MT43" s="1"/>
      <c r="MU43" s="1"/>
      <c r="MV43" s="1"/>
      <c r="MW43" s="1"/>
      <c r="MX43" s="1"/>
      <c r="MY43" s="1"/>
      <c r="MZ43" s="1" t="s">
        <v>37</v>
      </c>
      <c r="NA43" s="1"/>
      <c r="NB43" s="1"/>
      <c r="NC43" s="1"/>
      <c r="ND43" s="1"/>
      <c r="NE43" s="1"/>
      <c r="NF43" s="1"/>
      <c r="NG43" s="1"/>
      <c r="NH43" s="1"/>
      <c r="NI43" s="1"/>
      <c r="NK43" s="18">
        <f t="array" aca="1" ref="NK43" ca="1">SUMPRODUCT((OFFSET($A43,0,1,1,372)&lt;&gt;"")*(IF(OFFSET($A43,0,1,1,372)=$NX$16,0.5,IF(OFFSET($A43,0,1,1,372)=$NX$17,0.5,1))*(OFFSET($A$3,0,1,1,372))))</f>
        <v>1</v>
      </c>
      <c r="NL43" s="23">
        <f t="shared" ca="1" si="9"/>
        <v>0</v>
      </c>
      <c r="NM43" s="23">
        <f t="shared" ca="1" si="9"/>
        <v>0</v>
      </c>
      <c r="NN43" s="23">
        <f t="shared" ca="1" si="9"/>
        <v>0</v>
      </c>
      <c r="NO43" s="23">
        <f t="shared" ca="1" si="9"/>
        <v>1</v>
      </c>
      <c r="NP43" s="23">
        <f t="shared" ca="1" si="9"/>
        <v>0</v>
      </c>
      <c r="NQ43" s="23">
        <f t="shared" ca="1" si="9"/>
        <v>0</v>
      </c>
      <c r="NR43" s="23">
        <f t="shared" ca="1" si="9"/>
        <v>0</v>
      </c>
      <c r="NS43" s="23">
        <f t="shared" ca="1" si="9"/>
        <v>0</v>
      </c>
      <c r="NT43" s="23">
        <f t="shared" ca="1" si="9"/>
        <v>0</v>
      </c>
      <c r="NU43" s="23">
        <f t="shared" ca="1" si="9"/>
        <v>0</v>
      </c>
    </row>
    <row r="44" spans="1:388" x14ac:dyDescent="0.25">
      <c r="A44" s="1" t="s">
        <v>172</v>
      </c>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c r="GF44" s="1"/>
      <c r="GG44" s="1"/>
      <c r="GH44" s="1"/>
      <c r="GI44" s="1"/>
      <c r="GJ44" s="1"/>
      <c r="GK44" s="1"/>
      <c r="GL44" s="1"/>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1"/>
      <c r="HQ44" s="1"/>
      <c r="HR44" s="1"/>
      <c r="HS44" s="1"/>
      <c r="HT44" s="1"/>
      <c r="HU44" s="1"/>
      <c r="HV44" s="1"/>
      <c r="HW44" s="1"/>
      <c r="HX44" s="1"/>
      <c r="HY44" s="1"/>
      <c r="HZ44" s="1"/>
      <c r="IA44" s="1"/>
      <c r="IB44" s="1"/>
      <c r="IC44" s="1"/>
      <c r="ID44" s="1"/>
      <c r="IE44" s="1"/>
      <c r="IF44" s="1"/>
      <c r="IG44" s="1"/>
      <c r="IH44" s="1"/>
      <c r="II44" s="1"/>
      <c r="IJ44" s="1"/>
      <c r="IK44" s="1"/>
      <c r="IL44" s="1"/>
      <c r="IM44" s="1"/>
      <c r="IN44" s="1"/>
      <c r="IO44" s="1"/>
      <c r="IP44" s="1"/>
      <c r="IQ44" s="1"/>
      <c r="IR44" s="1"/>
      <c r="IS44" s="1"/>
      <c r="IT44" s="1"/>
      <c r="IU44" s="1"/>
      <c r="IV44" s="1"/>
      <c r="IW44" s="1"/>
      <c r="IX44" s="1"/>
      <c r="IY44" s="1"/>
      <c r="IZ44" s="1"/>
      <c r="JA44" s="1"/>
      <c r="JB44" s="1"/>
      <c r="JC44" s="1"/>
      <c r="JD44" s="1"/>
      <c r="JE44" s="1"/>
      <c r="JF44" s="1"/>
      <c r="JG44" s="1"/>
      <c r="JH44" s="1"/>
      <c r="JI44" s="1"/>
      <c r="JJ44" s="1"/>
      <c r="JK44" s="1"/>
      <c r="JL44" s="1"/>
      <c r="JM44" s="1"/>
      <c r="JN44" s="1"/>
      <c r="JO44" s="1"/>
      <c r="JP44" s="1"/>
      <c r="JQ44" s="1"/>
      <c r="JR44" s="1"/>
      <c r="JS44" s="1"/>
      <c r="JT44" s="1"/>
      <c r="JU44" s="1"/>
      <c r="JV44" s="1"/>
      <c r="JW44" s="1"/>
      <c r="JX44" s="1"/>
      <c r="JY44" s="1"/>
      <c r="JZ44" s="1"/>
      <c r="KA44" s="1"/>
      <c r="KB44" s="1"/>
      <c r="KC44" s="1"/>
      <c r="KD44" s="1"/>
      <c r="KE44" s="1"/>
      <c r="KF44" s="1"/>
      <c r="KG44" s="1"/>
      <c r="KH44" s="1"/>
      <c r="KI44" s="1"/>
      <c r="KJ44" s="1"/>
      <c r="KK44" s="1"/>
      <c r="KL44" s="1"/>
      <c r="KM44" s="1"/>
      <c r="KN44" s="1"/>
      <c r="KO44" s="1"/>
      <c r="KP44" s="1"/>
      <c r="KQ44" s="1"/>
      <c r="KR44" s="1"/>
      <c r="KS44" s="1"/>
      <c r="KT44" s="1"/>
      <c r="KU44" s="1"/>
      <c r="KV44" s="1"/>
      <c r="KW44" s="1"/>
      <c r="KX44" s="1"/>
      <c r="KY44" s="1"/>
      <c r="KZ44" s="1"/>
      <c r="LA44" s="1"/>
      <c r="LB44" s="1"/>
      <c r="LC44" s="1"/>
      <c r="LD44" s="1"/>
      <c r="LE44" s="1"/>
      <c r="LF44" s="1"/>
      <c r="LG44" s="1"/>
      <c r="LH44" s="1"/>
      <c r="LI44" s="1"/>
      <c r="LJ44" s="1"/>
      <c r="LK44" s="1"/>
      <c r="LL44" s="1"/>
      <c r="LM44" s="1"/>
      <c r="LN44" s="1"/>
      <c r="LO44" s="1"/>
      <c r="LP44" s="1"/>
      <c r="LQ44" s="1"/>
      <c r="LR44" s="1"/>
      <c r="LS44" s="1"/>
      <c r="LT44" s="1"/>
      <c r="LU44" s="1"/>
      <c r="LV44" s="1"/>
      <c r="LW44" s="1"/>
      <c r="LX44" s="1"/>
      <c r="LY44" s="1"/>
      <c r="LZ44" s="1"/>
      <c r="MA44" s="1"/>
      <c r="MB44" s="1"/>
      <c r="MC44" s="1"/>
      <c r="MD44" s="1"/>
      <c r="ME44" s="1"/>
      <c r="MF44" s="1"/>
      <c r="MG44" s="1"/>
      <c r="MH44" s="1"/>
      <c r="MI44" s="1"/>
      <c r="MJ44" s="1"/>
      <c r="MK44" s="1"/>
      <c r="ML44" s="1"/>
      <c r="MM44" s="1"/>
      <c r="MN44" s="1"/>
      <c r="MO44" s="1"/>
      <c r="MP44" s="1"/>
      <c r="MQ44" s="1"/>
      <c r="MR44" s="1"/>
      <c r="MS44" s="1"/>
      <c r="MT44" s="1"/>
      <c r="MU44" s="1"/>
      <c r="MV44" s="1"/>
      <c r="MW44" s="1"/>
      <c r="MX44" s="1"/>
      <c r="MY44" s="1"/>
      <c r="MZ44" s="1" t="s">
        <v>37</v>
      </c>
      <c r="NA44" s="1"/>
      <c r="NB44" s="1"/>
      <c r="NC44" s="1"/>
      <c r="ND44" s="1"/>
      <c r="NE44" s="1"/>
      <c r="NF44" s="1"/>
      <c r="NG44" s="1"/>
      <c r="NH44" s="1"/>
      <c r="NI44" s="1"/>
      <c r="NK44" s="18">
        <f t="array" aca="1" ref="NK44" ca="1">SUMPRODUCT((OFFSET($A44,0,1,1,372)&lt;&gt;"")*(IF(OFFSET($A44,0,1,1,372)=$NX$16,0.5,IF(OFFSET($A44,0,1,1,372)=$NX$17,0.5,1))*(OFFSET($A$3,0,1,1,372))))</f>
        <v>1</v>
      </c>
      <c r="NL44" s="23">
        <f t="shared" ca="1" si="9"/>
        <v>0</v>
      </c>
      <c r="NM44" s="23">
        <f t="shared" ca="1" si="9"/>
        <v>0</v>
      </c>
      <c r="NN44" s="23">
        <f t="shared" ca="1" si="9"/>
        <v>0</v>
      </c>
      <c r="NO44" s="23">
        <f t="shared" ca="1" si="9"/>
        <v>1</v>
      </c>
      <c r="NP44" s="23">
        <f t="shared" ca="1" si="9"/>
        <v>0</v>
      </c>
      <c r="NQ44" s="23">
        <f t="shared" ca="1" si="9"/>
        <v>0</v>
      </c>
      <c r="NR44" s="23">
        <f t="shared" ca="1" si="9"/>
        <v>0</v>
      </c>
      <c r="NS44" s="23">
        <f t="shared" ca="1" si="9"/>
        <v>0</v>
      </c>
      <c r="NT44" s="23">
        <f t="shared" ca="1" si="9"/>
        <v>0</v>
      </c>
      <c r="NU44" s="23">
        <f t="shared" ca="1" si="9"/>
        <v>0</v>
      </c>
    </row>
    <row r="45" spans="1:388" x14ac:dyDescent="0.25">
      <c r="A45" s="1" t="s">
        <v>173</v>
      </c>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c r="GF45" s="1"/>
      <c r="GG45" s="1"/>
      <c r="GH45" s="1"/>
      <c r="GI45" s="1"/>
      <c r="GJ45" s="1"/>
      <c r="GK45" s="1"/>
      <c r="GL45" s="1"/>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1"/>
      <c r="HQ45" s="1"/>
      <c r="HR45" s="1"/>
      <c r="HS45" s="1"/>
      <c r="HT45" s="1"/>
      <c r="HU45" s="1"/>
      <c r="HV45" s="1"/>
      <c r="HW45" s="1"/>
      <c r="HX45" s="1"/>
      <c r="HY45" s="1"/>
      <c r="HZ45" s="1"/>
      <c r="IA45" s="1"/>
      <c r="IB45" s="1"/>
      <c r="IC45" s="1"/>
      <c r="ID45" s="1"/>
      <c r="IE45" s="1"/>
      <c r="IF45" s="1"/>
      <c r="IG45" s="1"/>
      <c r="IH45" s="1"/>
      <c r="II45" s="1"/>
      <c r="IJ45" s="1"/>
      <c r="IK45" s="1"/>
      <c r="IL45" s="1"/>
      <c r="IM45" s="1"/>
      <c r="IN45" s="1"/>
      <c r="IO45" s="1"/>
      <c r="IP45" s="1"/>
      <c r="IQ45" s="1"/>
      <c r="IR45" s="1"/>
      <c r="IS45" s="1"/>
      <c r="IT45" s="1"/>
      <c r="IU45" s="1"/>
      <c r="IV45" s="1"/>
      <c r="IW45" s="1"/>
      <c r="IX45" s="1"/>
      <c r="IY45" s="1"/>
      <c r="IZ45" s="1"/>
      <c r="JA45" s="1"/>
      <c r="JB45" s="1"/>
      <c r="JC45" s="1"/>
      <c r="JD45" s="1"/>
      <c r="JE45" s="1"/>
      <c r="JF45" s="1"/>
      <c r="JG45" s="1"/>
      <c r="JH45" s="1"/>
      <c r="JI45" s="1"/>
      <c r="JJ45" s="1"/>
      <c r="JK45" s="1"/>
      <c r="JL45" s="1"/>
      <c r="JM45" s="1"/>
      <c r="JN45" s="1"/>
      <c r="JO45" s="1"/>
      <c r="JP45" s="1"/>
      <c r="JQ45" s="1"/>
      <c r="JR45" s="1"/>
      <c r="JS45" s="1"/>
      <c r="JT45" s="1"/>
      <c r="JU45" s="1"/>
      <c r="JV45" s="1"/>
      <c r="JW45" s="1"/>
      <c r="JX45" s="1"/>
      <c r="JY45" s="1"/>
      <c r="JZ45" s="1"/>
      <c r="KA45" s="1"/>
      <c r="KB45" s="1"/>
      <c r="KC45" s="1"/>
      <c r="KD45" s="1"/>
      <c r="KE45" s="1"/>
      <c r="KF45" s="1"/>
      <c r="KG45" s="1"/>
      <c r="KH45" s="1"/>
      <c r="KI45" s="1"/>
      <c r="KJ45" s="1"/>
      <c r="KK45" s="1"/>
      <c r="KL45" s="1"/>
      <c r="KM45" s="1"/>
      <c r="KN45" s="1"/>
      <c r="KO45" s="1"/>
      <c r="KP45" s="1"/>
      <c r="KQ45" s="1"/>
      <c r="KR45" s="1"/>
      <c r="KS45" s="1"/>
      <c r="KT45" s="1"/>
      <c r="KU45" s="1"/>
      <c r="KV45" s="1"/>
      <c r="KW45" s="1"/>
      <c r="KX45" s="1"/>
      <c r="KY45" s="1"/>
      <c r="KZ45" s="1"/>
      <c r="LA45" s="1"/>
      <c r="LB45" s="1"/>
      <c r="LC45" s="1"/>
      <c r="LD45" s="1"/>
      <c r="LE45" s="1"/>
      <c r="LF45" s="1"/>
      <c r="LG45" s="1"/>
      <c r="LH45" s="1"/>
      <c r="LI45" s="1"/>
      <c r="LJ45" s="1"/>
      <c r="LK45" s="1"/>
      <c r="LL45" s="1"/>
      <c r="LM45" s="1"/>
      <c r="LN45" s="1"/>
      <c r="LO45" s="1"/>
      <c r="LP45" s="1"/>
      <c r="LQ45" s="1"/>
      <c r="LR45" s="1"/>
      <c r="LS45" s="1"/>
      <c r="LT45" s="1"/>
      <c r="LU45" s="1"/>
      <c r="LV45" s="1"/>
      <c r="LW45" s="1"/>
      <c r="LX45" s="1"/>
      <c r="LY45" s="1"/>
      <c r="LZ45" s="1"/>
      <c r="MA45" s="1"/>
      <c r="MB45" s="1"/>
      <c r="MC45" s="1"/>
      <c r="MD45" s="1"/>
      <c r="ME45" s="1"/>
      <c r="MF45" s="1"/>
      <c r="MG45" s="1"/>
      <c r="MH45" s="1"/>
      <c r="MI45" s="1"/>
      <c r="MJ45" s="1"/>
      <c r="MK45" s="1"/>
      <c r="ML45" s="1"/>
      <c r="MM45" s="1"/>
      <c r="MN45" s="1"/>
      <c r="MO45" s="1"/>
      <c r="MP45" s="1"/>
      <c r="MQ45" s="1"/>
      <c r="MR45" s="1"/>
      <c r="MS45" s="1"/>
      <c r="MT45" s="1"/>
      <c r="MU45" s="1"/>
      <c r="MV45" s="1"/>
      <c r="MW45" s="1"/>
      <c r="MX45" s="1"/>
      <c r="MY45" s="1"/>
      <c r="MZ45" s="1" t="s">
        <v>37</v>
      </c>
      <c r="NA45" s="1"/>
      <c r="NB45" s="1"/>
      <c r="NC45" s="1"/>
      <c r="ND45" s="1"/>
      <c r="NE45" s="1"/>
      <c r="NF45" s="1"/>
      <c r="NG45" s="1"/>
      <c r="NH45" s="1"/>
      <c r="NI45" s="1"/>
      <c r="NK45" s="18">
        <f t="array" aca="1" ref="NK45" ca="1">SUMPRODUCT((OFFSET($A45,0,1,1,372)&lt;&gt;"")*(IF(OFFSET($A45,0,1,1,372)=$NX$16,0.5,IF(OFFSET($A45,0,1,1,372)=$NX$17,0.5,1))*(OFFSET($A$3,0,1,1,372))))</f>
        <v>1</v>
      </c>
      <c r="NL45" s="23">
        <f t="shared" ca="1" si="9"/>
        <v>0</v>
      </c>
      <c r="NM45" s="23">
        <f t="shared" ca="1" si="9"/>
        <v>0</v>
      </c>
      <c r="NN45" s="23">
        <f t="shared" ca="1" si="9"/>
        <v>0</v>
      </c>
      <c r="NO45" s="23">
        <f t="shared" ca="1" si="9"/>
        <v>1</v>
      </c>
      <c r="NP45" s="23">
        <f t="shared" ca="1" si="9"/>
        <v>0</v>
      </c>
      <c r="NQ45" s="23">
        <f t="shared" ca="1" si="9"/>
        <v>0</v>
      </c>
      <c r="NR45" s="23">
        <f t="shared" ca="1" si="9"/>
        <v>0</v>
      </c>
      <c r="NS45" s="23">
        <f t="shared" ca="1" si="9"/>
        <v>0</v>
      </c>
      <c r="NT45" s="23">
        <f t="shared" ca="1" si="9"/>
        <v>0</v>
      </c>
      <c r="NU45" s="23">
        <f t="shared" ca="1" si="9"/>
        <v>0</v>
      </c>
    </row>
    <row r="46" spans="1:388" x14ac:dyDescent="0.25">
      <c r="A46" s="1" t="s">
        <v>174</v>
      </c>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c r="GF46" s="1"/>
      <c r="GG46" s="1"/>
      <c r="GH46" s="1"/>
      <c r="GI46" s="1"/>
      <c r="GJ46" s="1"/>
      <c r="GK46" s="1"/>
      <c r="GL46" s="1"/>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1"/>
      <c r="HQ46" s="1"/>
      <c r="HR46" s="1"/>
      <c r="HS46" s="1"/>
      <c r="HT46" s="1"/>
      <c r="HU46" s="1"/>
      <c r="HV46" s="1"/>
      <c r="HW46" s="1"/>
      <c r="HX46" s="1"/>
      <c r="HY46" s="1"/>
      <c r="HZ46" s="1"/>
      <c r="IA46" s="1"/>
      <c r="IB46" s="1"/>
      <c r="IC46" s="1"/>
      <c r="ID46" s="1"/>
      <c r="IE46" s="1"/>
      <c r="IF46" s="1"/>
      <c r="IG46" s="1"/>
      <c r="IH46" s="1"/>
      <c r="II46" s="1"/>
      <c r="IJ46" s="1"/>
      <c r="IK46" s="1"/>
      <c r="IL46" s="1"/>
      <c r="IM46" s="1"/>
      <c r="IN46" s="1"/>
      <c r="IO46" s="1"/>
      <c r="IP46" s="1"/>
      <c r="IQ46" s="1"/>
      <c r="IR46" s="1"/>
      <c r="IS46" s="1"/>
      <c r="IT46" s="1"/>
      <c r="IU46" s="1"/>
      <c r="IV46" s="1"/>
      <c r="IW46" s="1"/>
      <c r="IX46" s="1"/>
      <c r="IY46" s="1"/>
      <c r="IZ46" s="1"/>
      <c r="JA46" s="1"/>
      <c r="JB46" s="1"/>
      <c r="JC46" s="1"/>
      <c r="JD46" s="1"/>
      <c r="JE46" s="1"/>
      <c r="JF46" s="1"/>
      <c r="JG46" s="1"/>
      <c r="JH46" s="1"/>
      <c r="JI46" s="1"/>
      <c r="JJ46" s="1"/>
      <c r="JK46" s="1"/>
      <c r="JL46" s="1"/>
      <c r="JM46" s="1"/>
      <c r="JN46" s="1"/>
      <c r="JO46" s="1"/>
      <c r="JP46" s="1"/>
      <c r="JQ46" s="1"/>
      <c r="JR46" s="1"/>
      <c r="JS46" s="1"/>
      <c r="JT46" s="1"/>
      <c r="JU46" s="1"/>
      <c r="JV46" s="1"/>
      <c r="JW46" s="1"/>
      <c r="JX46" s="1"/>
      <c r="JY46" s="1"/>
      <c r="JZ46" s="1"/>
      <c r="KA46" s="1"/>
      <c r="KB46" s="1"/>
      <c r="KC46" s="1"/>
      <c r="KD46" s="1"/>
      <c r="KE46" s="1"/>
      <c r="KF46" s="1"/>
      <c r="KG46" s="1"/>
      <c r="KH46" s="1"/>
      <c r="KI46" s="1"/>
      <c r="KJ46" s="1"/>
      <c r="KK46" s="1"/>
      <c r="KL46" s="1"/>
      <c r="KM46" s="1"/>
      <c r="KN46" s="1"/>
      <c r="KO46" s="1"/>
      <c r="KP46" s="1"/>
      <c r="KQ46" s="1"/>
      <c r="KR46" s="1"/>
      <c r="KS46" s="1"/>
      <c r="KT46" s="1"/>
      <c r="KU46" s="1"/>
      <c r="KV46" s="1"/>
      <c r="KW46" s="1"/>
      <c r="KX46" s="1"/>
      <c r="KY46" s="1"/>
      <c r="KZ46" s="1"/>
      <c r="LA46" s="1"/>
      <c r="LB46" s="1"/>
      <c r="LC46" s="1"/>
      <c r="LD46" s="1"/>
      <c r="LE46" s="1"/>
      <c r="LF46" s="1"/>
      <c r="LG46" s="1"/>
      <c r="LH46" s="1"/>
      <c r="LI46" s="1"/>
      <c r="LJ46" s="1"/>
      <c r="LK46" s="1"/>
      <c r="LL46" s="1"/>
      <c r="LM46" s="1"/>
      <c r="LN46" s="1"/>
      <c r="LO46" s="1"/>
      <c r="LP46" s="1"/>
      <c r="LQ46" s="1"/>
      <c r="LR46" s="1"/>
      <c r="LS46" s="1"/>
      <c r="LT46" s="1"/>
      <c r="LU46" s="1"/>
      <c r="LV46" s="1"/>
      <c r="LW46" s="1"/>
      <c r="LX46" s="1"/>
      <c r="LY46" s="1"/>
      <c r="LZ46" s="1"/>
      <c r="MA46" s="1"/>
      <c r="MB46" s="1"/>
      <c r="MC46" s="1"/>
      <c r="MD46" s="1"/>
      <c r="ME46" s="1"/>
      <c r="MF46" s="1"/>
      <c r="MG46" s="1"/>
      <c r="MH46" s="1"/>
      <c r="MI46" s="1"/>
      <c r="MJ46" s="1"/>
      <c r="MK46" s="1"/>
      <c r="ML46" s="1"/>
      <c r="MM46" s="1"/>
      <c r="MN46" s="1"/>
      <c r="MO46" s="1"/>
      <c r="MP46" s="1"/>
      <c r="MQ46" s="1"/>
      <c r="MR46" s="1"/>
      <c r="MS46" s="1"/>
      <c r="MT46" s="1"/>
      <c r="MU46" s="1"/>
      <c r="MV46" s="1"/>
      <c r="MW46" s="1"/>
      <c r="MX46" s="1"/>
      <c r="MY46" s="1"/>
      <c r="MZ46" s="1" t="s">
        <v>37</v>
      </c>
      <c r="NA46" s="1"/>
      <c r="NB46" s="1"/>
      <c r="NC46" s="1"/>
      <c r="ND46" s="1"/>
      <c r="NE46" s="1"/>
      <c r="NF46" s="1"/>
      <c r="NG46" s="1"/>
      <c r="NH46" s="1"/>
      <c r="NI46" s="1"/>
      <c r="NK46" s="18">
        <f t="array" aca="1" ref="NK46" ca="1">SUMPRODUCT((OFFSET($A46,0,1,1,372)&lt;&gt;"")*(IF(OFFSET($A46,0,1,1,372)=$NX$16,0.5,IF(OFFSET($A46,0,1,1,372)=$NX$17,0.5,1))*(OFFSET($A$3,0,1,1,372))))</f>
        <v>1</v>
      </c>
      <c r="NL46" s="23">
        <f t="shared" ca="1" si="9"/>
        <v>0</v>
      </c>
      <c r="NM46" s="23">
        <f t="shared" ca="1" si="9"/>
        <v>0</v>
      </c>
      <c r="NN46" s="23">
        <f t="shared" ca="1" si="9"/>
        <v>0</v>
      </c>
      <c r="NO46" s="23">
        <f t="shared" ca="1" si="9"/>
        <v>1</v>
      </c>
      <c r="NP46" s="23">
        <f t="shared" ca="1" si="9"/>
        <v>0</v>
      </c>
      <c r="NQ46" s="23">
        <f t="shared" ca="1" si="9"/>
        <v>0</v>
      </c>
      <c r="NR46" s="23">
        <f t="shared" ca="1" si="9"/>
        <v>0</v>
      </c>
      <c r="NS46" s="23">
        <f t="shared" ca="1" si="9"/>
        <v>0</v>
      </c>
      <c r="NT46" s="23">
        <f t="shared" ca="1" si="9"/>
        <v>0</v>
      </c>
      <c r="NU46" s="23">
        <f t="shared" ca="1" si="9"/>
        <v>0</v>
      </c>
    </row>
    <row r="47" spans="1:388" x14ac:dyDescent="0.25">
      <c r="A47" s="1" t="s">
        <v>175</v>
      </c>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c r="GF47" s="1"/>
      <c r="GG47" s="1"/>
      <c r="GH47" s="1"/>
      <c r="GI47" s="1"/>
      <c r="GJ47" s="1"/>
      <c r="GK47" s="1"/>
      <c r="GL47" s="1"/>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1"/>
      <c r="HQ47" s="1"/>
      <c r="HR47" s="1"/>
      <c r="HS47" s="1"/>
      <c r="HT47" s="1"/>
      <c r="HU47" s="1"/>
      <c r="HV47" s="1"/>
      <c r="HW47" s="1"/>
      <c r="HX47" s="1"/>
      <c r="HY47" s="1"/>
      <c r="HZ47" s="1"/>
      <c r="IA47" s="1"/>
      <c r="IB47" s="1"/>
      <c r="IC47" s="1"/>
      <c r="ID47" s="1"/>
      <c r="IE47" s="1"/>
      <c r="IF47" s="1"/>
      <c r="IG47" s="1"/>
      <c r="IH47" s="1"/>
      <c r="II47" s="1"/>
      <c r="IJ47" s="1"/>
      <c r="IK47" s="1"/>
      <c r="IL47" s="1"/>
      <c r="IM47" s="1"/>
      <c r="IN47" s="1"/>
      <c r="IO47" s="1"/>
      <c r="IP47" s="1"/>
      <c r="IQ47" s="1"/>
      <c r="IR47" s="1"/>
      <c r="IS47" s="1"/>
      <c r="IT47" s="1"/>
      <c r="IU47" s="1"/>
      <c r="IV47" s="1"/>
      <c r="IW47" s="1"/>
      <c r="IX47" s="1"/>
      <c r="IY47" s="1"/>
      <c r="IZ47" s="1"/>
      <c r="JA47" s="1"/>
      <c r="JB47" s="1"/>
      <c r="JC47" s="1"/>
      <c r="JD47" s="1"/>
      <c r="JE47" s="1"/>
      <c r="JF47" s="1"/>
      <c r="JG47" s="1"/>
      <c r="JH47" s="1"/>
      <c r="JI47" s="1"/>
      <c r="JJ47" s="1"/>
      <c r="JK47" s="1"/>
      <c r="JL47" s="1"/>
      <c r="JM47" s="1"/>
      <c r="JN47" s="1"/>
      <c r="JO47" s="1"/>
      <c r="JP47" s="1"/>
      <c r="JQ47" s="1"/>
      <c r="JR47" s="1"/>
      <c r="JS47" s="1"/>
      <c r="JT47" s="1"/>
      <c r="JU47" s="1"/>
      <c r="JV47" s="1"/>
      <c r="JW47" s="1"/>
      <c r="JX47" s="1"/>
      <c r="JY47" s="1"/>
      <c r="JZ47" s="1"/>
      <c r="KA47" s="1"/>
      <c r="KB47" s="1"/>
      <c r="KC47" s="1"/>
      <c r="KD47" s="1"/>
      <c r="KE47" s="1"/>
      <c r="KF47" s="1"/>
      <c r="KG47" s="1"/>
      <c r="KH47" s="1"/>
      <c r="KI47" s="1"/>
      <c r="KJ47" s="1"/>
      <c r="KK47" s="1"/>
      <c r="KL47" s="1"/>
      <c r="KM47" s="1"/>
      <c r="KN47" s="1"/>
      <c r="KO47" s="1"/>
      <c r="KP47" s="1"/>
      <c r="KQ47" s="1"/>
      <c r="KR47" s="1"/>
      <c r="KS47" s="1"/>
      <c r="KT47" s="1"/>
      <c r="KU47" s="1"/>
      <c r="KV47" s="1"/>
      <c r="KW47" s="1"/>
      <c r="KX47" s="1"/>
      <c r="KY47" s="1"/>
      <c r="KZ47" s="1"/>
      <c r="LA47" s="1"/>
      <c r="LB47" s="1"/>
      <c r="LC47" s="1"/>
      <c r="LD47" s="1"/>
      <c r="LE47" s="1"/>
      <c r="LF47" s="1"/>
      <c r="LG47" s="1"/>
      <c r="LH47" s="1"/>
      <c r="LI47" s="1"/>
      <c r="LJ47" s="1"/>
      <c r="LK47" s="1"/>
      <c r="LL47" s="1"/>
      <c r="LM47" s="1"/>
      <c r="LN47" s="1"/>
      <c r="LO47" s="1"/>
      <c r="LP47" s="1"/>
      <c r="LQ47" s="1"/>
      <c r="LR47" s="1"/>
      <c r="LS47" s="1"/>
      <c r="LT47" s="1"/>
      <c r="LU47" s="1"/>
      <c r="LV47" s="1"/>
      <c r="LW47" s="1"/>
      <c r="LX47" s="1"/>
      <c r="LY47" s="1"/>
      <c r="LZ47" s="1"/>
      <c r="MA47" s="1"/>
      <c r="MB47" s="1"/>
      <c r="MC47" s="1"/>
      <c r="MD47" s="1"/>
      <c r="ME47" s="1"/>
      <c r="MF47" s="1"/>
      <c r="MG47" s="1"/>
      <c r="MH47" s="1"/>
      <c r="MI47" s="1"/>
      <c r="MJ47" s="1"/>
      <c r="MK47" s="1"/>
      <c r="ML47" s="1"/>
      <c r="MM47" s="1"/>
      <c r="MN47" s="1"/>
      <c r="MO47" s="1"/>
      <c r="MP47" s="1"/>
      <c r="MQ47" s="1"/>
      <c r="MR47" s="1"/>
      <c r="MS47" s="1"/>
      <c r="MT47" s="1"/>
      <c r="MU47" s="1"/>
      <c r="MV47" s="1"/>
      <c r="MW47" s="1"/>
      <c r="MX47" s="1"/>
      <c r="MY47" s="1"/>
      <c r="MZ47" s="1" t="s">
        <v>37</v>
      </c>
      <c r="NA47" s="1"/>
      <c r="NB47" s="1"/>
      <c r="NC47" s="1"/>
      <c r="ND47" s="1"/>
      <c r="NE47" s="1"/>
      <c r="NF47" s="1"/>
      <c r="NG47" s="1"/>
      <c r="NH47" s="1"/>
      <c r="NI47" s="1"/>
      <c r="NK47" s="18">
        <f t="array" aca="1" ref="NK47" ca="1">SUMPRODUCT((OFFSET($A47,0,1,1,372)&lt;&gt;"")*(IF(OFFSET($A47,0,1,1,372)=$NX$16,0.5,IF(OFFSET($A47,0,1,1,372)=$NX$17,0.5,1))*(OFFSET($A$3,0,1,1,372))))</f>
        <v>1</v>
      </c>
      <c r="NL47" s="23">
        <f t="shared" ca="1" si="9"/>
        <v>0</v>
      </c>
      <c r="NM47" s="23">
        <f t="shared" ca="1" si="9"/>
        <v>0</v>
      </c>
      <c r="NN47" s="23">
        <f t="shared" ca="1" si="9"/>
        <v>0</v>
      </c>
      <c r="NO47" s="23">
        <f t="shared" ca="1" si="9"/>
        <v>1</v>
      </c>
      <c r="NP47" s="23">
        <f t="shared" ca="1" si="9"/>
        <v>0</v>
      </c>
      <c r="NQ47" s="23">
        <f t="shared" ca="1" si="9"/>
        <v>0</v>
      </c>
      <c r="NR47" s="23">
        <f t="shared" ca="1" si="9"/>
        <v>0</v>
      </c>
      <c r="NS47" s="23">
        <f t="shared" ca="1" si="9"/>
        <v>0</v>
      </c>
      <c r="NT47" s="23">
        <f t="shared" ca="1" si="9"/>
        <v>0</v>
      </c>
      <c r="NU47" s="23">
        <f t="shared" ca="1" si="9"/>
        <v>0</v>
      </c>
    </row>
    <row r="48" spans="1:388" x14ac:dyDescent="0.25">
      <c r="A48" s="1" t="s">
        <v>176</v>
      </c>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c r="GF48" s="1"/>
      <c r="GG48" s="1"/>
      <c r="GH48" s="1"/>
      <c r="GI48" s="1"/>
      <c r="GJ48" s="1"/>
      <c r="GK48" s="1"/>
      <c r="GL48" s="1"/>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1"/>
      <c r="HQ48" s="1"/>
      <c r="HR48" s="1"/>
      <c r="HS48" s="1"/>
      <c r="HT48" s="1"/>
      <c r="HU48" s="1"/>
      <c r="HV48" s="1"/>
      <c r="HW48" s="1"/>
      <c r="HX48" s="1"/>
      <c r="HY48" s="1"/>
      <c r="HZ48" s="1"/>
      <c r="IA48" s="1"/>
      <c r="IB48" s="1"/>
      <c r="IC48" s="1"/>
      <c r="ID48" s="1"/>
      <c r="IE48" s="1"/>
      <c r="IF48" s="1"/>
      <c r="IG48" s="1"/>
      <c r="IH48" s="1"/>
      <c r="II48" s="1"/>
      <c r="IJ48" s="1"/>
      <c r="IK48" s="1"/>
      <c r="IL48" s="1"/>
      <c r="IM48" s="1"/>
      <c r="IN48" s="1"/>
      <c r="IO48" s="1"/>
      <c r="IP48" s="1"/>
      <c r="IQ48" s="1"/>
      <c r="IR48" s="1"/>
      <c r="IS48" s="1"/>
      <c r="IT48" s="1"/>
      <c r="IU48" s="1"/>
      <c r="IV48" s="1"/>
      <c r="IW48" s="1"/>
      <c r="IX48" s="1"/>
      <c r="IY48" s="1"/>
      <c r="IZ48" s="1"/>
      <c r="JA48" s="1"/>
      <c r="JB48" s="1"/>
      <c r="JC48" s="1"/>
      <c r="JD48" s="1"/>
      <c r="JE48" s="1"/>
      <c r="JF48" s="1"/>
      <c r="JG48" s="1"/>
      <c r="JH48" s="1"/>
      <c r="JI48" s="1"/>
      <c r="JJ48" s="1"/>
      <c r="JK48" s="1"/>
      <c r="JL48" s="1"/>
      <c r="JM48" s="1"/>
      <c r="JN48" s="1"/>
      <c r="JO48" s="1"/>
      <c r="JP48" s="1"/>
      <c r="JQ48" s="1"/>
      <c r="JR48" s="1"/>
      <c r="JS48" s="1"/>
      <c r="JT48" s="1"/>
      <c r="JU48" s="1"/>
      <c r="JV48" s="1"/>
      <c r="JW48" s="1"/>
      <c r="JX48" s="1"/>
      <c r="JY48" s="1"/>
      <c r="JZ48" s="1"/>
      <c r="KA48" s="1"/>
      <c r="KB48" s="1"/>
      <c r="KC48" s="1"/>
      <c r="KD48" s="1"/>
      <c r="KE48" s="1"/>
      <c r="KF48" s="1"/>
      <c r="KG48" s="1"/>
      <c r="KH48" s="1"/>
      <c r="KI48" s="1"/>
      <c r="KJ48" s="1"/>
      <c r="KK48" s="1"/>
      <c r="KL48" s="1"/>
      <c r="KM48" s="1"/>
      <c r="KN48" s="1"/>
      <c r="KO48" s="1"/>
      <c r="KP48" s="1"/>
      <c r="KQ48" s="1"/>
      <c r="KR48" s="1"/>
      <c r="KS48" s="1"/>
      <c r="KT48" s="1"/>
      <c r="KU48" s="1"/>
      <c r="KV48" s="1"/>
      <c r="KW48" s="1"/>
      <c r="KX48" s="1"/>
      <c r="KY48" s="1"/>
      <c r="KZ48" s="1"/>
      <c r="LA48" s="1"/>
      <c r="LB48" s="1"/>
      <c r="LC48" s="1"/>
      <c r="LD48" s="1"/>
      <c r="LE48" s="1"/>
      <c r="LF48" s="1"/>
      <c r="LG48" s="1"/>
      <c r="LH48" s="1"/>
      <c r="LI48" s="1"/>
      <c r="LJ48" s="1"/>
      <c r="LK48" s="1"/>
      <c r="LL48" s="1"/>
      <c r="LM48" s="1"/>
      <c r="LN48" s="1"/>
      <c r="LO48" s="1"/>
      <c r="LP48" s="1"/>
      <c r="LQ48" s="1"/>
      <c r="LR48" s="1"/>
      <c r="LS48" s="1"/>
      <c r="LT48" s="1"/>
      <c r="LU48" s="1"/>
      <c r="LV48" s="1"/>
      <c r="LW48" s="1"/>
      <c r="LX48" s="1"/>
      <c r="LY48" s="1"/>
      <c r="LZ48" s="1"/>
      <c r="MA48" s="1"/>
      <c r="MB48" s="1"/>
      <c r="MC48" s="1"/>
      <c r="MD48" s="1"/>
      <c r="ME48" s="1"/>
      <c r="MF48" s="1"/>
      <c r="MG48" s="1"/>
      <c r="MH48" s="1"/>
      <c r="MI48" s="1"/>
      <c r="MJ48" s="1"/>
      <c r="MK48" s="1"/>
      <c r="ML48" s="1"/>
      <c r="MM48" s="1"/>
      <c r="MN48" s="1"/>
      <c r="MO48" s="1"/>
      <c r="MP48" s="1"/>
      <c r="MQ48" s="1"/>
      <c r="MR48" s="1"/>
      <c r="MS48" s="1"/>
      <c r="MT48" s="1"/>
      <c r="MU48" s="1"/>
      <c r="MV48" s="1"/>
      <c r="MW48" s="1"/>
      <c r="MX48" s="1"/>
      <c r="MY48" s="1"/>
      <c r="MZ48" s="1" t="s">
        <v>37</v>
      </c>
      <c r="NA48" s="1"/>
      <c r="NB48" s="1"/>
      <c r="NC48" s="1"/>
      <c r="ND48" s="1"/>
      <c r="NE48" s="1"/>
      <c r="NF48" s="1"/>
      <c r="NG48" s="1"/>
      <c r="NH48" s="1"/>
      <c r="NI48" s="1"/>
      <c r="NK48" s="18">
        <f t="array" aca="1" ref="NK48" ca="1">SUMPRODUCT((OFFSET($A48,0,1,1,372)&lt;&gt;"")*(IF(OFFSET($A48,0,1,1,372)=$NX$16,0.5,IF(OFFSET($A48,0,1,1,372)=$NX$17,0.5,1))*(OFFSET($A$3,0,1,1,372))))</f>
        <v>1</v>
      </c>
      <c r="NL48" s="23">
        <f t="shared" ca="1" si="9"/>
        <v>0</v>
      </c>
      <c r="NM48" s="23">
        <f t="shared" ca="1" si="9"/>
        <v>0</v>
      </c>
      <c r="NN48" s="23">
        <f t="shared" ca="1" si="9"/>
        <v>0</v>
      </c>
      <c r="NO48" s="23">
        <f t="shared" ca="1" si="9"/>
        <v>1</v>
      </c>
      <c r="NP48" s="23">
        <f t="shared" ca="1" si="9"/>
        <v>0</v>
      </c>
      <c r="NQ48" s="23">
        <f t="shared" ca="1" si="9"/>
        <v>0</v>
      </c>
      <c r="NR48" s="23">
        <f t="shared" ca="1" si="9"/>
        <v>0</v>
      </c>
      <c r="NS48" s="23">
        <f t="shared" ca="1" si="9"/>
        <v>0</v>
      </c>
      <c r="NT48" s="23">
        <f t="shared" ca="1" si="9"/>
        <v>0</v>
      </c>
      <c r="NU48" s="23">
        <f t="shared" ca="1" si="9"/>
        <v>0</v>
      </c>
    </row>
    <row r="49" spans="1:385" x14ac:dyDescent="0.25">
      <c r="A49" s="1" t="s">
        <v>177</v>
      </c>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1"/>
      <c r="EU49" s="1"/>
      <c r="EV49" s="1"/>
      <c r="EW49" s="1"/>
      <c r="EX49" s="1"/>
      <c r="EY49" s="1"/>
      <c r="EZ49" s="1"/>
      <c r="FA49" s="1"/>
      <c r="FB49" s="1"/>
      <c r="FC49" s="1"/>
      <c r="FD49" s="1"/>
      <c r="FE49" s="1"/>
      <c r="FF49" s="1"/>
      <c r="FG49" s="1"/>
      <c r="FH49" s="1"/>
      <c r="FI49" s="1"/>
      <c r="FJ49" s="1"/>
      <c r="FK49" s="1"/>
      <c r="FL49" s="1"/>
      <c r="FM49" s="1"/>
      <c r="FN49" s="1"/>
      <c r="FO49" s="1"/>
      <c r="FP49" s="1"/>
      <c r="FQ49" s="1"/>
      <c r="FR49" s="1"/>
      <c r="FS49" s="1"/>
      <c r="FT49" s="1"/>
      <c r="FU49" s="1"/>
      <c r="FV49" s="1"/>
      <c r="FW49" s="1"/>
      <c r="FX49" s="1"/>
      <c r="FY49" s="1"/>
      <c r="FZ49" s="1"/>
      <c r="GA49" s="1"/>
      <c r="GB49" s="1"/>
      <c r="GC49" s="1"/>
      <c r="GD49" s="1"/>
      <c r="GE49" s="1"/>
      <c r="GF49" s="1"/>
      <c r="GG49" s="1"/>
      <c r="GH49" s="1"/>
      <c r="GI49" s="1"/>
      <c r="GJ49" s="1"/>
      <c r="GK49" s="1"/>
      <c r="GL49" s="1"/>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1"/>
      <c r="HQ49" s="1"/>
      <c r="HR49" s="1"/>
      <c r="HS49" s="1"/>
      <c r="HT49" s="1"/>
      <c r="HU49" s="1"/>
      <c r="HV49" s="1"/>
      <c r="HW49" s="1"/>
      <c r="HX49" s="1"/>
      <c r="HY49" s="1"/>
      <c r="HZ49" s="1"/>
      <c r="IA49" s="1"/>
      <c r="IB49" s="1"/>
      <c r="IC49" s="1"/>
      <c r="ID49" s="1"/>
      <c r="IE49" s="1"/>
      <c r="IF49" s="1"/>
      <c r="IG49" s="1"/>
      <c r="IH49" s="1"/>
      <c r="II49" s="1"/>
      <c r="IJ49" s="1"/>
      <c r="IK49" s="1"/>
      <c r="IL49" s="1"/>
      <c r="IM49" s="1"/>
      <c r="IN49" s="1"/>
      <c r="IO49" s="1"/>
      <c r="IP49" s="1"/>
      <c r="IQ49" s="1"/>
      <c r="IR49" s="1"/>
      <c r="IS49" s="1"/>
      <c r="IT49" s="1"/>
      <c r="IU49" s="1"/>
      <c r="IV49" s="1"/>
      <c r="IW49" s="1"/>
      <c r="IX49" s="1"/>
      <c r="IY49" s="1"/>
      <c r="IZ49" s="1"/>
      <c r="JA49" s="1"/>
      <c r="JB49" s="1"/>
      <c r="JC49" s="1"/>
      <c r="JD49" s="1"/>
      <c r="JE49" s="1"/>
      <c r="JF49" s="1"/>
      <c r="JG49" s="1"/>
      <c r="JH49" s="1"/>
      <c r="JI49" s="1"/>
      <c r="JJ49" s="1"/>
      <c r="JK49" s="1"/>
      <c r="JL49" s="1"/>
      <c r="JM49" s="1"/>
      <c r="JN49" s="1"/>
      <c r="JO49" s="1"/>
      <c r="JP49" s="1"/>
      <c r="JQ49" s="1"/>
      <c r="JR49" s="1"/>
      <c r="JS49" s="1"/>
      <c r="JT49" s="1"/>
      <c r="JU49" s="1"/>
      <c r="JV49" s="1"/>
      <c r="JW49" s="1"/>
      <c r="JX49" s="1"/>
      <c r="JY49" s="1"/>
      <c r="JZ49" s="1"/>
      <c r="KA49" s="1"/>
      <c r="KB49" s="1"/>
      <c r="KC49" s="1"/>
      <c r="KD49" s="1"/>
      <c r="KE49" s="1"/>
      <c r="KF49" s="1"/>
      <c r="KG49" s="1"/>
      <c r="KH49" s="1"/>
      <c r="KI49" s="1"/>
      <c r="KJ49" s="1"/>
      <c r="KK49" s="1"/>
      <c r="KL49" s="1"/>
      <c r="KM49" s="1"/>
      <c r="KN49" s="1"/>
      <c r="KO49" s="1"/>
      <c r="KP49" s="1"/>
      <c r="KQ49" s="1"/>
      <c r="KR49" s="1"/>
      <c r="KS49" s="1"/>
      <c r="KT49" s="1"/>
      <c r="KU49" s="1"/>
      <c r="KV49" s="1"/>
      <c r="KW49" s="1"/>
      <c r="KX49" s="1"/>
      <c r="KY49" s="1"/>
      <c r="KZ49" s="1"/>
      <c r="LA49" s="1"/>
      <c r="LB49" s="1"/>
      <c r="LC49" s="1"/>
      <c r="LD49" s="1"/>
      <c r="LE49" s="1"/>
      <c r="LF49" s="1"/>
      <c r="LG49" s="1"/>
      <c r="LH49" s="1"/>
      <c r="LI49" s="1"/>
      <c r="LJ49" s="1"/>
      <c r="LK49" s="1"/>
      <c r="LL49" s="1"/>
      <c r="LM49" s="1"/>
      <c r="LN49" s="1"/>
      <c r="LO49" s="1"/>
      <c r="LP49" s="1"/>
      <c r="LQ49" s="1"/>
      <c r="LR49" s="1"/>
      <c r="LS49" s="1"/>
      <c r="LT49" s="1"/>
      <c r="LU49" s="1"/>
      <c r="LV49" s="1"/>
      <c r="LW49" s="1"/>
      <c r="LX49" s="1"/>
      <c r="LY49" s="1"/>
      <c r="LZ49" s="1"/>
      <c r="MA49" s="1"/>
      <c r="MB49" s="1"/>
      <c r="MC49" s="1"/>
      <c r="MD49" s="1"/>
      <c r="ME49" s="1"/>
      <c r="MF49" s="1"/>
      <c r="MG49" s="1"/>
      <c r="MH49" s="1"/>
      <c r="MI49" s="1"/>
      <c r="MJ49" s="1"/>
      <c r="MK49" s="1"/>
      <c r="ML49" s="1"/>
      <c r="MM49" s="1"/>
      <c r="MN49" s="1"/>
      <c r="MO49" s="1"/>
      <c r="MP49" s="1"/>
      <c r="MQ49" s="1"/>
      <c r="MR49" s="1"/>
      <c r="MS49" s="1"/>
      <c r="MT49" s="1"/>
      <c r="MU49" s="1"/>
      <c r="MV49" s="1"/>
      <c r="MW49" s="1"/>
      <c r="MX49" s="1"/>
      <c r="MY49" s="1"/>
      <c r="MZ49" s="1" t="s">
        <v>37</v>
      </c>
      <c r="NA49" s="1" t="s">
        <v>37</v>
      </c>
      <c r="NB49" s="1" t="s">
        <v>190</v>
      </c>
      <c r="NC49" s="1"/>
      <c r="ND49" s="1"/>
      <c r="NE49" s="1"/>
      <c r="NF49" s="1"/>
      <c r="NG49" s="1"/>
      <c r="NH49" s="1"/>
      <c r="NI49" s="1"/>
      <c r="NK49" s="18">
        <f t="array" aca="1" ref="NK49" ca="1">SUMPRODUCT((OFFSET($A49,0,1,1,372)&lt;&gt;"")*(IF(OFFSET($A49,0,1,1,372)=$NX$16,0.5,IF(OFFSET($A49,0,1,1,372)=$NX$17,0.5,1))*(OFFSET($A$3,0,1,1,372))))</f>
        <v>3</v>
      </c>
      <c r="NL49" s="23">
        <f t="shared" ca="1" si="9"/>
        <v>0</v>
      </c>
      <c r="NM49" s="23">
        <f t="shared" ca="1" si="9"/>
        <v>0</v>
      </c>
      <c r="NN49" s="23">
        <f t="shared" ca="1" si="9"/>
        <v>0</v>
      </c>
      <c r="NO49" s="23">
        <f t="shared" ca="1" si="9"/>
        <v>2</v>
      </c>
      <c r="NP49" s="23">
        <f t="shared" ca="1" si="9"/>
        <v>0</v>
      </c>
      <c r="NQ49" s="23">
        <f t="shared" ca="1" si="9"/>
        <v>0</v>
      </c>
      <c r="NR49" s="23">
        <f t="shared" ca="1" si="9"/>
        <v>0</v>
      </c>
      <c r="NS49" s="23">
        <f t="shared" ca="1" si="9"/>
        <v>0</v>
      </c>
      <c r="NT49" s="23">
        <f t="shared" ca="1" si="9"/>
        <v>0</v>
      </c>
      <c r="NU49" s="23">
        <f t="shared" ca="1" si="9"/>
        <v>0</v>
      </c>
    </row>
    <row r="50" spans="1:385" x14ac:dyDescent="0.25">
      <c r="A50" s="1" t="s">
        <v>178</v>
      </c>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1"/>
      <c r="EU50" s="1"/>
      <c r="EV50" s="1"/>
      <c r="EW50" s="1"/>
      <c r="EX50" s="1"/>
      <c r="EY50" s="1"/>
      <c r="EZ50" s="1"/>
      <c r="FA50" s="1"/>
      <c r="FB50" s="1"/>
      <c r="FC50" s="1"/>
      <c r="FD50" s="1"/>
      <c r="FE50" s="1"/>
      <c r="FF50" s="1"/>
      <c r="FG50" s="1"/>
      <c r="FH50" s="1"/>
      <c r="FI50" s="1"/>
      <c r="FJ50" s="1"/>
      <c r="FK50" s="1"/>
      <c r="FL50" s="1"/>
      <c r="FM50" s="1"/>
      <c r="FN50" s="1"/>
      <c r="FO50" s="1"/>
      <c r="FP50" s="1"/>
      <c r="FQ50" s="1"/>
      <c r="FR50" s="1"/>
      <c r="FS50" s="1"/>
      <c r="FT50" s="1"/>
      <c r="FU50" s="1"/>
      <c r="FV50" s="1"/>
      <c r="FW50" s="1"/>
      <c r="FX50" s="1"/>
      <c r="FY50" s="1"/>
      <c r="FZ50" s="1"/>
      <c r="GA50" s="1"/>
      <c r="GB50" s="1"/>
      <c r="GC50" s="1"/>
      <c r="GD50" s="1"/>
      <c r="GE50" s="1"/>
      <c r="GF50" s="1"/>
      <c r="GG50" s="1"/>
      <c r="GH50" s="1"/>
      <c r="GI50" s="1"/>
      <c r="GJ50" s="1"/>
      <c r="GK50" s="1"/>
      <c r="GL50" s="1"/>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1"/>
      <c r="HQ50" s="1"/>
      <c r="HR50" s="1"/>
      <c r="HS50" s="1"/>
      <c r="HT50" s="1"/>
      <c r="HU50" s="1"/>
      <c r="HV50" s="1"/>
      <c r="HW50" s="1"/>
      <c r="HX50" s="1"/>
      <c r="HY50" s="1"/>
      <c r="HZ50" s="1"/>
      <c r="IA50" s="1"/>
      <c r="IB50" s="1"/>
      <c r="IC50" s="1"/>
      <c r="ID50" s="1"/>
      <c r="IE50" s="1"/>
      <c r="IF50" s="1"/>
      <c r="IG50" s="1"/>
      <c r="IH50" s="1"/>
      <c r="II50" s="1"/>
      <c r="IJ50" s="1"/>
      <c r="IK50" s="1"/>
      <c r="IL50" s="1"/>
      <c r="IM50" s="1"/>
      <c r="IN50" s="1"/>
      <c r="IO50" s="1"/>
      <c r="IP50" s="1"/>
      <c r="IQ50" s="1"/>
      <c r="IR50" s="1"/>
      <c r="IS50" s="1"/>
      <c r="IT50" s="1"/>
      <c r="IU50" s="1"/>
      <c r="IV50" s="1"/>
      <c r="IW50" s="1"/>
      <c r="IX50" s="1"/>
      <c r="IY50" s="1"/>
      <c r="IZ50" s="1"/>
      <c r="JA50" s="1"/>
      <c r="JB50" s="1"/>
      <c r="JC50" s="1"/>
      <c r="JD50" s="1"/>
      <c r="JE50" s="1"/>
      <c r="JF50" s="1"/>
      <c r="JG50" s="1"/>
      <c r="JH50" s="1"/>
      <c r="JI50" s="1"/>
      <c r="JJ50" s="1"/>
      <c r="JK50" s="1"/>
      <c r="JL50" s="1"/>
      <c r="JM50" s="1"/>
      <c r="JN50" s="1"/>
      <c r="JO50" s="1"/>
      <c r="JP50" s="1"/>
      <c r="JQ50" s="1"/>
      <c r="JR50" s="1"/>
      <c r="JS50" s="1"/>
      <c r="JT50" s="1"/>
      <c r="JU50" s="1"/>
      <c r="JV50" s="1"/>
      <c r="JW50" s="1"/>
      <c r="JX50" s="1"/>
      <c r="JY50" s="1"/>
      <c r="JZ50" s="1"/>
      <c r="KA50" s="1"/>
      <c r="KB50" s="1"/>
      <c r="KC50" s="1"/>
      <c r="KD50" s="1"/>
      <c r="KE50" s="1"/>
      <c r="KF50" s="1"/>
      <c r="KG50" s="1"/>
      <c r="KH50" s="1"/>
      <c r="KI50" s="1"/>
      <c r="KJ50" s="1"/>
      <c r="KK50" s="1"/>
      <c r="KL50" s="1"/>
      <c r="KM50" s="1"/>
      <c r="KN50" s="1"/>
      <c r="KO50" s="1"/>
      <c r="KP50" s="1"/>
      <c r="KQ50" s="1"/>
      <c r="KR50" s="1"/>
      <c r="KS50" s="1"/>
      <c r="KT50" s="1"/>
      <c r="KU50" s="1"/>
      <c r="KV50" s="1"/>
      <c r="KW50" s="1"/>
      <c r="KX50" s="1"/>
      <c r="KY50" s="1"/>
      <c r="KZ50" s="1"/>
      <c r="LA50" s="1"/>
      <c r="LB50" s="1"/>
      <c r="LC50" s="1"/>
      <c r="LD50" s="1"/>
      <c r="LE50" s="1"/>
      <c r="LF50" s="1"/>
      <c r="LG50" s="1"/>
      <c r="LH50" s="1"/>
      <c r="LI50" s="1"/>
      <c r="LJ50" s="1"/>
      <c r="LK50" s="1"/>
      <c r="LL50" s="1"/>
      <c r="LM50" s="1"/>
      <c r="LN50" s="1"/>
      <c r="LO50" s="1"/>
      <c r="LP50" s="1"/>
      <c r="LQ50" s="1"/>
      <c r="LR50" s="1"/>
      <c r="LS50" s="1"/>
      <c r="LT50" s="1"/>
      <c r="LU50" s="1"/>
      <c r="LV50" s="1"/>
      <c r="LW50" s="1"/>
      <c r="LX50" s="1"/>
      <c r="LY50" s="1"/>
      <c r="LZ50" s="1"/>
      <c r="MA50" s="1"/>
      <c r="MB50" s="1"/>
      <c r="MC50" s="1"/>
      <c r="MD50" s="1"/>
      <c r="ME50" s="1"/>
      <c r="MF50" s="1"/>
      <c r="MG50" s="1"/>
      <c r="MH50" s="1"/>
      <c r="MI50" s="1"/>
      <c r="MJ50" s="1"/>
      <c r="MK50" s="1"/>
      <c r="ML50" s="1"/>
      <c r="MM50" s="1"/>
      <c r="MN50" s="1"/>
      <c r="MO50" s="1"/>
      <c r="MP50" s="1"/>
      <c r="MQ50" s="1"/>
      <c r="MR50" s="1"/>
      <c r="MS50" s="1"/>
      <c r="MT50" s="1"/>
      <c r="MU50" s="1"/>
      <c r="MV50" s="1"/>
      <c r="MW50" s="1"/>
      <c r="MX50" s="1"/>
      <c r="MY50" s="1"/>
      <c r="MZ50" s="1" t="s">
        <v>37</v>
      </c>
      <c r="NA50" s="1"/>
      <c r="NB50" s="1"/>
      <c r="NC50" s="1"/>
      <c r="ND50" s="1"/>
      <c r="NE50" s="1"/>
      <c r="NF50" s="1"/>
      <c r="NG50" s="1"/>
      <c r="NH50" s="1"/>
      <c r="NI50" s="1"/>
      <c r="NK50" s="18">
        <f t="array" aca="1" ref="NK50" ca="1">SUMPRODUCT((OFFSET($A50,0,1,1,372)&lt;&gt;"")*(IF(OFFSET($A50,0,1,1,372)=$NX$16,0.5,IF(OFFSET($A50,0,1,1,372)=$NX$17,0.5,1))*(OFFSET($A$3,0,1,1,372))))</f>
        <v>1</v>
      </c>
      <c r="NL50" s="23">
        <f t="shared" ca="1" si="9"/>
        <v>0</v>
      </c>
      <c r="NM50" s="23">
        <f t="shared" ca="1" si="9"/>
        <v>0</v>
      </c>
      <c r="NN50" s="23">
        <f t="shared" ca="1" si="9"/>
        <v>0</v>
      </c>
      <c r="NO50" s="23">
        <f t="shared" ca="1" si="9"/>
        <v>1</v>
      </c>
      <c r="NP50" s="23">
        <f t="shared" ca="1" si="9"/>
        <v>0</v>
      </c>
      <c r="NQ50" s="23">
        <f t="shared" ca="1" si="9"/>
        <v>0</v>
      </c>
      <c r="NR50" s="23">
        <f t="shared" ca="1" si="9"/>
        <v>0</v>
      </c>
      <c r="NS50" s="23">
        <f t="shared" ca="1" si="9"/>
        <v>0</v>
      </c>
      <c r="NT50" s="23">
        <f t="shared" ca="1" si="9"/>
        <v>0</v>
      </c>
      <c r="NU50" s="23">
        <f t="shared" ca="1" si="9"/>
        <v>0</v>
      </c>
    </row>
    <row r="51" spans="1:385" x14ac:dyDescent="0.25">
      <c r="A51" s="1" t="s">
        <v>179</v>
      </c>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1"/>
      <c r="EU51" s="1"/>
      <c r="EV51" s="1"/>
      <c r="EW51" s="1"/>
      <c r="EX51" s="1"/>
      <c r="EY51" s="1"/>
      <c r="EZ51" s="1"/>
      <c r="FA51" s="1"/>
      <c r="FB51" s="1"/>
      <c r="FC51" s="1"/>
      <c r="FD51" s="1"/>
      <c r="FE51" s="1"/>
      <c r="FF51" s="1"/>
      <c r="FG51" s="1"/>
      <c r="FH51" s="1"/>
      <c r="FI51" s="1"/>
      <c r="FJ51" s="1"/>
      <c r="FK51" s="1"/>
      <c r="FL51" s="1"/>
      <c r="FM51" s="1"/>
      <c r="FN51" s="1"/>
      <c r="FO51" s="1"/>
      <c r="FP51" s="1"/>
      <c r="FQ51" s="1"/>
      <c r="FR51" s="1"/>
      <c r="FS51" s="1"/>
      <c r="FT51" s="1"/>
      <c r="FU51" s="1"/>
      <c r="FV51" s="1"/>
      <c r="FW51" s="1"/>
      <c r="FX51" s="1"/>
      <c r="FY51" s="1"/>
      <c r="FZ51" s="1"/>
      <c r="GA51" s="1"/>
      <c r="GB51" s="1"/>
      <c r="GC51" s="1"/>
      <c r="GD51" s="1"/>
      <c r="GE51" s="1"/>
      <c r="GF51" s="1"/>
      <c r="GG51" s="1"/>
      <c r="GH51" s="1"/>
      <c r="GI51" s="1"/>
      <c r="GJ51" s="1"/>
      <c r="GK51" s="1"/>
      <c r="GL51" s="1"/>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1"/>
      <c r="HQ51" s="1"/>
      <c r="HR51" s="1"/>
      <c r="HS51" s="1"/>
      <c r="HT51" s="1"/>
      <c r="HU51" s="1"/>
      <c r="HV51" s="1"/>
      <c r="HW51" s="1"/>
      <c r="HX51" s="1"/>
      <c r="HY51" s="1"/>
      <c r="HZ51" s="1"/>
      <c r="IA51" s="1"/>
      <c r="IB51" s="1"/>
      <c r="IC51" s="1"/>
      <c r="ID51" s="1"/>
      <c r="IE51" s="1"/>
      <c r="IF51" s="1"/>
      <c r="IG51" s="1"/>
      <c r="IH51" s="1"/>
      <c r="II51" s="1"/>
      <c r="IJ51" s="1"/>
      <c r="IK51" s="1"/>
      <c r="IL51" s="1"/>
      <c r="IM51" s="1"/>
      <c r="IN51" s="1"/>
      <c r="IO51" s="1"/>
      <c r="IP51" s="1"/>
      <c r="IQ51" s="1"/>
      <c r="IR51" s="1"/>
      <c r="IS51" s="1"/>
      <c r="IT51" s="1"/>
      <c r="IU51" s="1"/>
      <c r="IV51" s="1"/>
      <c r="IW51" s="1"/>
      <c r="IX51" s="1"/>
      <c r="IY51" s="1"/>
      <c r="IZ51" s="1"/>
      <c r="JA51" s="1"/>
      <c r="JB51" s="1"/>
      <c r="JC51" s="1"/>
      <c r="JD51" s="1"/>
      <c r="JE51" s="1"/>
      <c r="JF51" s="1"/>
      <c r="JG51" s="1"/>
      <c r="JH51" s="1"/>
      <c r="JI51" s="1"/>
      <c r="JJ51" s="1"/>
      <c r="JK51" s="1"/>
      <c r="JL51" s="1"/>
      <c r="JM51" s="1"/>
      <c r="JN51" s="1"/>
      <c r="JO51" s="1"/>
      <c r="JP51" s="1"/>
      <c r="JQ51" s="1"/>
      <c r="JR51" s="1"/>
      <c r="JS51" s="1"/>
      <c r="JT51" s="1"/>
      <c r="JU51" s="1"/>
      <c r="JV51" s="1"/>
      <c r="JW51" s="1"/>
      <c r="JX51" s="1"/>
      <c r="JY51" s="1"/>
      <c r="JZ51" s="1"/>
      <c r="KA51" s="1"/>
      <c r="KB51" s="1"/>
      <c r="KC51" s="1"/>
      <c r="KD51" s="1"/>
      <c r="KE51" s="1"/>
      <c r="KF51" s="1"/>
      <c r="KG51" s="1"/>
      <c r="KH51" s="1"/>
      <c r="KI51" s="1"/>
      <c r="KJ51" s="1"/>
      <c r="KK51" s="1"/>
      <c r="KL51" s="1"/>
      <c r="KM51" s="1"/>
      <c r="KN51" s="1"/>
      <c r="KO51" s="1"/>
      <c r="KP51" s="1"/>
      <c r="KQ51" s="1"/>
      <c r="KR51" s="1"/>
      <c r="KS51" s="1"/>
      <c r="KT51" s="1"/>
      <c r="KU51" s="1"/>
      <c r="KV51" s="1"/>
      <c r="KW51" s="1"/>
      <c r="KX51" s="1"/>
      <c r="KY51" s="1"/>
      <c r="KZ51" s="1"/>
      <c r="LA51" s="1"/>
      <c r="LB51" s="1"/>
      <c r="LC51" s="1"/>
      <c r="LD51" s="1"/>
      <c r="LE51" s="1"/>
      <c r="LF51" s="1"/>
      <c r="LG51" s="1"/>
      <c r="LH51" s="1"/>
      <c r="LI51" s="1"/>
      <c r="LJ51" s="1"/>
      <c r="LK51" s="1"/>
      <c r="LL51" s="1"/>
      <c r="LM51" s="1"/>
      <c r="LN51" s="1"/>
      <c r="LO51" s="1"/>
      <c r="LP51" s="1"/>
      <c r="LQ51" s="1"/>
      <c r="LR51" s="1"/>
      <c r="LS51" s="1"/>
      <c r="LT51" s="1"/>
      <c r="LU51" s="1"/>
      <c r="LV51" s="1"/>
      <c r="LW51" s="1"/>
      <c r="LX51" s="1"/>
      <c r="LY51" s="1"/>
      <c r="LZ51" s="1"/>
      <c r="MA51" s="1"/>
      <c r="MB51" s="1"/>
      <c r="MC51" s="1"/>
      <c r="MD51" s="1"/>
      <c r="ME51" s="1"/>
      <c r="MF51" s="1"/>
      <c r="MG51" s="1"/>
      <c r="MH51" s="1"/>
      <c r="MI51" s="1"/>
      <c r="MJ51" s="1"/>
      <c r="MK51" s="1"/>
      <c r="ML51" s="1"/>
      <c r="MM51" s="1"/>
      <c r="MN51" s="1"/>
      <c r="MO51" s="1"/>
      <c r="MP51" s="1"/>
      <c r="MQ51" s="1"/>
      <c r="MR51" s="1"/>
      <c r="MS51" s="1"/>
      <c r="MT51" s="1"/>
      <c r="MU51" s="1"/>
      <c r="MV51" s="1"/>
      <c r="MW51" s="1"/>
      <c r="MX51" s="1"/>
      <c r="MY51" s="1"/>
      <c r="MZ51" s="1" t="s">
        <v>37</v>
      </c>
      <c r="NA51" s="1"/>
      <c r="NB51" s="1"/>
      <c r="NC51" s="1"/>
      <c r="ND51" s="1"/>
      <c r="NE51" s="1"/>
      <c r="NF51" s="1"/>
      <c r="NG51" s="1"/>
      <c r="NH51" s="1"/>
      <c r="NI51" s="1"/>
      <c r="NK51" s="18">
        <f t="array" aca="1" ref="NK51" ca="1">SUMPRODUCT((OFFSET($A51,0,1,1,372)&lt;&gt;"")*(IF(OFFSET($A51,0,1,1,372)=$NX$16,0.5,IF(OFFSET($A51,0,1,1,372)=$NX$17,0.5,1))*(OFFSET($A$3,0,1,1,372))))</f>
        <v>1</v>
      </c>
      <c r="NL51" s="23">
        <f t="shared" ca="1" si="9"/>
        <v>0</v>
      </c>
      <c r="NM51" s="23">
        <f t="shared" ca="1" si="9"/>
        <v>0</v>
      </c>
      <c r="NN51" s="23">
        <f t="shared" ca="1" si="9"/>
        <v>0</v>
      </c>
      <c r="NO51" s="23">
        <f t="shared" ca="1" si="9"/>
        <v>1</v>
      </c>
      <c r="NP51" s="23">
        <f t="shared" ca="1" si="9"/>
        <v>0</v>
      </c>
      <c r="NQ51" s="23">
        <f t="shared" ca="1" si="9"/>
        <v>0</v>
      </c>
      <c r="NR51" s="23">
        <f t="shared" ca="1" si="9"/>
        <v>0</v>
      </c>
      <c r="NS51" s="23">
        <f t="shared" ca="1" si="9"/>
        <v>0</v>
      </c>
      <c r="NT51" s="23">
        <f t="shared" ca="1" si="9"/>
        <v>0</v>
      </c>
      <c r="NU51" s="23">
        <f t="shared" ca="1" si="9"/>
        <v>0</v>
      </c>
    </row>
    <row r="52" spans="1:385" x14ac:dyDescent="0.25">
      <c r="A52" s="1" t="s">
        <v>180</v>
      </c>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c r="GF52" s="1"/>
      <c r="GG52" s="1"/>
      <c r="GH52" s="1"/>
      <c r="GI52" s="1"/>
      <c r="GJ52" s="1"/>
      <c r="GK52" s="1"/>
      <c r="GL52" s="1"/>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1"/>
      <c r="HQ52" s="1"/>
      <c r="HR52" s="1"/>
      <c r="HS52" s="1"/>
      <c r="HT52" s="1"/>
      <c r="HU52" s="1"/>
      <c r="HV52" s="1"/>
      <c r="HW52" s="1"/>
      <c r="HX52" s="1"/>
      <c r="HY52" s="1"/>
      <c r="HZ52" s="1"/>
      <c r="IA52" s="1"/>
      <c r="IB52" s="1"/>
      <c r="IC52" s="1"/>
      <c r="ID52" s="1"/>
      <c r="IE52" s="1"/>
      <c r="IF52" s="1"/>
      <c r="IG52" s="1"/>
      <c r="IH52" s="1"/>
      <c r="II52" s="1"/>
      <c r="IJ52" s="1"/>
      <c r="IK52" s="1"/>
      <c r="IL52" s="1"/>
      <c r="IM52" s="1"/>
      <c r="IN52" s="1"/>
      <c r="IO52" s="1"/>
      <c r="IP52" s="1"/>
      <c r="IQ52" s="1"/>
      <c r="IR52" s="1"/>
      <c r="IS52" s="1"/>
      <c r="IT52" s="1"/>
      <c r="IU52" s="1"/>
      <c r="IV52" s="1"/>
      <c r="IW52" s="1"/>
      <c r="IX52" s="1"/>
      <c r="IY52" s="1"/>
      <c r="IZ52" s="1"/>
      <c r="JA52" s="1"/>
      <c r="JB52" s="1"/>
      <c r="JC52" s="1"/>
      <c r="JD52" s="1"/>
      <c r="JE52" s="1"/>
      <c r="JF52" s="1"/>
      <c r="JG52" s="1"/>
      <c r="JH52" s="1"/>
      <c r="JI52" s="1"/>
      <c r="JJ52" s="1"/>
      <c r="JK52" s="1"/>
      <c r="JL52" s="1"/>
      <c r="JM52" s="1"/>
      <c r="JN52" s="1"/>
      <c r="JO52" s="1"/>
      <c r="JP52" s="1"/>
      <c r="JQ52" s="1"/>
      <c r="JR52" s="1"/>
      <c r="JS52" s="1"/>
      <c r="JT52" s="1"/>
      <c r="JU52" s="1"/>
      <c r="JV52" s="1"/>
      <c r="JW52" s="1"/>
      <c r="JX52" s="1"/>
      <c r="JY52" s="1"/>
      <c r="JZ52" s="1"/>
      <c r="KA52" s="1"/>
      <c r="KB52" s="1"/>
      <c r="KC52" s="1"/>
      <c r="KD52" s="1"/>
      <c r="KE52" s="1"/>
      <c r="KF52" s="1"/>
      <c r="KG52" s="1"/>
      <c r="KH52" s="1"/>
      <c r="KI52" s="1"/>
      <c r="KJ52" s="1"/>
      <c r="KK52" s="1"/>
      <c r="KL52" s="1"/>
      <c r="KM52" s="1"/>
      <c r="KN52" s="1"/>
      <c r="KO52" s="1"/>
      <c r="KP52" s="1"/>
      <c r="KQ52" s="1"/>
      <c r="KR52" s="1"/>
      <c r="KS52" s="1"/>
      <c r="KT52" s="1"/>
      <c r="KU52" s="1"/>
      <c r="KV52" s="1"/>
      <c r="KW52" s="1"/>
      <c r="KX52" s="1"/>
      <c r="KY52" s="1"/>
      <c r="KZ52" s="1"/>
      <c r="LA52" s="1"/>
      <c r="LB52" s="1"/>
      <c r="LC52" s="1"/>
      <c r="LD52" s="1"/>
      <c r="LE52" s="1"/>
      <c r="LF52" s="1"/>
      <c r="LG52" s="1"/>
      <c r="LH52" s="1"/>
      <c r="LI52" s="1"/>
      <c r="LJ52" s="1"/>
      <c r="LK52" s="1"/>
      <c r="LL52" s="1"/>
      <c r="LM52" s="1"/>
      <c r="LN52" s="1"/>
      <c r="LO52" s="1"/>
      <c r="LP52" s="1"/>
      <c r="LQ52" s="1"/>
      <c r="LR52" s="1"/>
      <c r="LS52" s="1"/>
      <c r="LT52" s="1"/>
      <c r="LU52" s="1"/>
      <c r="LV52" s="1"/>
      <c r="LW52" s="1"/>
      <c r="LX52" s="1"/>
      <c r="LY52" s="1"/>
      <c r="LZ52" s="1"/>
      <c r="MA52" s="1"/>
      <c r="MB52" s="1"/>
      <c r="MC52" s="1"/>
      <c r="MD52" s="1"/>
      <c r="ME52" s="1"/>
      <c r="MF52" s="1"/>
      <c r="MG52" s="1"/>
      <c r="MH52" s="1"/>
      <c r="MI52" s="1"/>
      <c r="MJ52" s="1"/>
      <c r="MK52" s="1"/>
      <c r="ML52" s="1"/>
      <c r="MM52" s="1"/>
      <c r="MN52" s="1"/>
      <c r="MO52" s="1"/>
      <c r="MP52" s="1"/>
      <c r="MQ52" s="1"/>
      <c r="MR52" s="1"/>
      <c r="MS52" s="1"/>
      <c r="MT52" s="1"/>
      <c r="MU52" s="1"/>
      <c r="MV52" s="1"/>
      <c r="MW52" s="1"/>
      <c r="MX52" s="1"/>
      <c r="MY52" s="1"/>
      <c r="MZ52" s="1" t="s">
        <v>37</v>
      </c>
      <c r="NA52" s="1"/>
      <c r="NB52" s="1"/>
      <c r="NC52" s="1"/>
      <c r="ND52" s="1"/>
      <c r="NE52" s="1"/>
      <c r="NF52" s="1"/>
      <c r="NG52" s="1"/>
      <c r="NH52" s="1"/>
      <c r="NI52" s="1"/>
      <c r="NK52" s="18">
        <f t="array" aca="1" ref="NK52" ca="1">SUMPRODUCT((OFFSET($A52,0,1,1,372)&lt;&gt;"")*(IF(OFFSET($A52,0,1,1,372)=$NX$16,0.5,IF(OFFSET($A52,0,1,1,372)=$NX$17,0.5,1))*(OFFSET($A$3,0,1,1,372))))</f>
        <v>1</v>
      </c>
      <c r="NL52" s="23">
        <f t="shared" ca="1" si="9"/>
        <v>0</v>
      </c>
      <c r="NM52" s="23">
        <f t="shared" ca="1" si="9"/>
        <v>0</v>
      </c>
      <c r="NN52" s="23">
        <f t="shared" ca="1" si="9"/>
        <v>0</v>
      </c>
      <c r="NO52" s="23">
        <f t="shared" ca="1" si="9"/>
        <v>1</v>
      </c>
      <c r="NP52" s="23">
        <f t="shared" ca="1" si="9"/>
        <v>0</v>
      </c>
      <c r="NQ52" s="23">
        <f t="shared" ca="1" si="9"/>
        <v>0</v>
      </c>
      <c r="NR52" s="23">
        <f t="shared" ca="1" si="9"/>
        <v>0</v>
      </c>
      <c r="NS52" s="23">
        <f t="shared" ca="1" si="9"/>
        <v>0</v>
      </c>
      <c r="NT52" s="23">
        <f t="shared" ca="1" si="9"/>
        <v>0</v>
      </c>
      <c r="NU52" s="23">
        <f t="shared" ca="1" si="9"/>
        <v>0</v>
      </c>
    </row>
    <row r="53" spans="1:385" x14ac:dyDescent="0.25">
      <c r="A53" s="1" t="s">
        <v>181</v>
      </c>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c r="GF53" s="1"/>
      <c r="GG53" s="1"/>
      <c r="GH53" s="1"/>
      <c r="GI53" s="1"/>
      <c r="GJ53" s="1"/>
      <c r="GK53" s="1"/>
      <c r="GL53" s="1"/>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1"/>
      <c r="HQ53" s="1"/>
      <c r="HR53" s="1"/>
      <c r="HS53" s="1"/>
      <c r="HT53" s="1"/>
      <c r="HU53" s="1"/>
      <c r="HV53" s="1"/>
      <c r="HW53" s="1"/>
      <c r="HX53" s="1"/>
      <c r="HY53" s="1"/>
      <c r="HZ53" s="1"/>
      <c r="IA53" s="1"/>
      <c r="IB53" s="1"/>
      <c r="IC53" s="1"/>
      <c r="ID53" s="1"/>
      <c r="IE53" s="1"/>
      <c r="IF53" s="1"/>
      <c r="IG53" s="1"/>
      <c r="IH53" s="1"/>
      <c r="II53" s="1"/>
      <c r="IJ53" s="1"/>
      <c r="IK53" s="1"/>
      <c r="IL53" s="1"/>
      <c r="IM53" s="1"/>
      <c r="IN53" s="1"/>
      <c r="IO53" s="1"/>
      <c r="IP53" s="1"/>
      <c r="IQ53" s="1"/>
      <c r="IR53" s="1"/>
      <c r="IS53" s="1"/>
      <c r="IT53" s="1"/>
      <c r="IU53" s="1"/>
      <c r="IV53" s="1"/>
      <c r="IW53" s="1"/>
      <c r="IX53" s="1"/>
      <c r="IY53" s="1"/>
      <c r="IZ53" s="1"/>
      <c r="JA53" s="1"/>
      <c r="JB53" s="1"/>
      <c r="JC53" s="1"/>
      <c r="JD53" s="1"/>
      <c r="JE53" s="1"/>
      <c r="JF53" s="1"/>
      <c r="JG53" s="1"/>
      <c r="JH53" s="1"/>
      <c r="JI53" s="1"/>
      <c r="JJ53" s="1"/>
      <c r="JK53" s="1"/>
      <c r="JL53" s="1"/>
      <c r="JM53" s="1"/>
      <c r="JN53" s="1"/>
      <c r="JO53" s="1"/>
      <c r="JP53" s="1"/>
      <c r="JQ53" s="1"/>
      <c r="JR53" s="1"/>
      <c r="JS53" s="1"/>
      <c r="JT53" s="1"/>
      <c r="JU53" s="1"/>
      <c r="JV53" s="1"/>
      <c r="JW53" s="1"/>
      <c r="JX53" s="1"/>
      <c r="JY53" s="1"/>
      <c r="JZ53" s="1"/>
      <c r="KA53" s="1"/>
      <c r="KB53" s="1"/>
      <c r="KC53" s="1"/>
      <c r="KD53" s="1"/>
      <c r="KE53" s="1"/>
      <c r="KF53" s="1"/>
      <c r="KG53" s="1"/>
      <c r="KH53" s="1"/>
      <c r="KI53" s="1"/>
      <c r="KJ53" s="1"/>
      <c r="KK53" s="1"/>
      <c r="KL53" s="1"/>
      <c r="KM53" s="1"/>
      <c r="KN53" s="1"/>
      <c r="KO53" s="1"/>
      <c r="KP53" s="1"/>
      <c r="KQ53" s="1"/>
      <c r="KR53" s="1"/>
      <c r="KS53" s="1"/>
      <c r="KT53" s="1"/>
      <c r="KU53" s="1"/>
      <c r="KV53" s="1"/>
      <c r="KW53" s="1"/>
      <c r="KX53" s="1"/>
      <c r="KY53" s="1"/>
      <c r="KZ53" s="1"/>
      <c r="LA53" s="1"/>
      <c r="LB53" s="1"/>
      <c r="LC53" s="1"/>
      <c r="LD53" s="1"/>
      <c r="LE53" s="1"/>
      <c r="LF53" s="1"/>
      <c r="LG53" s="1"/>
      <c r="LH53" s="1"/>
      <c r="LI53" s="1"/>
      <c r="LJ53" s="1"/>
      <c r="LK53" s="1"/>
      <c r="LL53" s="1"/>
      <c r="LM53" s="1"/>
      <c r="LN53" s="1"/>
      <c r="LO53" s="1"/>
      <c r="LP53" s="1"/>
      <c r="LQ53" s="1"/>
      <c r="LR53" s="1"/>
      <c r="LS53" s="1"/>
      <c r="LT53" s="1"/>
      <c r="LU53" s="1"/>
      <c r="LV53" s="1"/>
      <c r="LW53" s="1"/>
      <c r="LX53" s="1"/>
      <c r="LY53" s="1"/>
      <c r="LZ53" s="1"/>
      <c r="MA53" s="1"/>
      <c r="MB53" s="1"/>
      <c r="MC53" s="1"/>
      <c r="MD53" s="1"/>
      <c r="ME53" s="1"/>
      <c r="MF53" s="1"/>
      <c r="MG53" s="1"/>
      <c r="MH53" s="1"/>
      <c r="MI53" s="1"/>
      <c r="MJ53" s="1"/>
      <c r="MK53" s="1"/>
      <c r="ML53" s="1"/>
      <c r="MM53" s="1"/>
      <c r="MN53" s="1"/>
      <c r="MO53" s="1"/>
      <c r="MP53" s="1"/>
      <c r="MQ53" s="1"/>
      <c r="MR53" s="1"/>
      <c r="MS53" s="1"/>
      <c r="MT53" s="1"/>
      <c r="MU53" s="1"/>
      <c r="MV53" s="1"/>
      <c r="MW53" s="1"/>
      <c r="MX53" s="1"/>
      <c r="MY53" s="1"/>
      <c r="MZ53" s="1" t="s">
        <v>37</v>
      </c>
      <c r="NA53" s="1"/>
      <c r="NB53" s="1"/>
      <c r="NC53" s="1"/>
      <c r="ND53" s="1"/>
      <c r="NE53" s="1"/>
      <c r="NF53" s="1"/>
      <c r="NG53" s="1"/>
      <c r="NH53" s="1"/>
      <c r="NI53" s="1"/>
      <c r="NK53" s="18">
        <f t="array" aca="1" ref="NK53" ca="1">SUMPRODUCT((OFFSET($A53,0,1,1,372)&lt;&gt;"")*(IF(OFFSET($A53,0,1,1,372)=$NX$16,0.5,IF(OFFSET($A53,0,1,1,372)=$NX$17,0.5,1))*(OFFSET($A$3,0,1,1,372))))</f>
        <v>1</v>
      </c>
      <c r="NL53" s="23">
        <f t="shared" ca="1" si="9"/>
        <v>0</v>
      </c>
      <c r="NM53" s="23">
        <f t="shared" ca="1" si="9"/>
        <v>0</v>
      </c>
      <c r="NN53" s="23">
        <f t="shared" ca="1" si="9"/>
        <v>0</v>
      </c>
      <c r="NO53" s="23">
        <f t="shared" ca="1" si="9"/>
        <v>1</v>
      </c>
      <c r="NP53" s="23">
        <f t="shared" ca="1" si="9"/>
        <v>0</v>
      </c>
      <c r="NQ53" s="23">
        <f t="shared" ca="1" si="9"/>
        <v>0</v>
      </c>
      <c r="NR53" s="23">
        <f t="shared" ca="1" si="9"/>
        <v>0</v>
      </c>
      <c r="NS53" s="23">
        <f t="shared" ca="1" si="9"/>
        <v>0</v>
      </c>
      <c r="NT53" s="23">
        <f t="shared" ca="1" si="9"/>
        <v>0</v>
      </c>
      <c r="NU53" s="23">
        <f t="shared" ca="1" si="9"/>
        <v>0</v>
      </c>
    </row>
    <row r="54" spans="1:385" x14ac:dyDescent="0.25">
      <c r="A54" s="1" t="s">
        <v>182</v>
      </c>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c r="GF54" s="1"/>
      <c r="GG54" s="1"/>
      <c r="GH54" s="1"/>
      <c r="GI54" s="1"/>
      <c r="GJ54" s="1"/>
      <c r="GK54" s="1"/>
      <c r="GL54" s="1"/>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1"/>
      <c r="HQ54" s="1"/>
      <c r="HR54" s="1"/>
      <c r="HS54" s="1"/>
      <c r="HT54" s="1"/>
      <c r="HU54" s="1"/>
      <c r="HV54" s="1"/>
      <c r="HW54" s="1"/>
      <c r="HX54" s="1"/>
      <c r="HY54" s="1"/>
      <c r="HZ54" s="1"/>
      <c r="IA54" s="1"/>
      <c r="IB54" s="1"/>
      <c r="IC54" s="1"/>
      <c r="ID54" s="1"/>
      <c r="IE54" s="1"/>
      <c r="IF54" s="1"/>
      <c r="IG54" s="1"/>
      <c r="IH54" s="1"/>
      <c r="II54" s="1"/>
      <c r="IJ54" s="1"/>
      <c r="IK54" s="1"/>
      <c r="IL54" s="1"/>
      <c r="IM54" s="1"/>
      <c r="IN54" s="1"/>
      <c r="IO54" s="1"/>
      <c r="IP54" s="1"/>
      <c r="IQ54" s="1"/>
      <c r="IR54" s="1"/>
      <c r="IS54" s="1"/>
      <c r="IT54" s="1"/>
      <c r="IU54" s="1"/>
      <c r="IV54" s="1"/>
      <c r="IW54" s="1"/>
      <c r="IX54" s="1"/>
      <c r="IY54" s="1"/>
      <c r="IZ54" s="1"/>
      <c r="JA54" s="1"/>
      <c r="JB54" s="1"/>
      <c r="JC54" s="1"/>
      <c r="JD54" s="1"/>
      <c r="JE54" s="1"/>
      <c r="JF54" s="1"/>
      <c r="JG54" s="1"/>
      <c r="JH54" s="1"/>
      <c r="JI54" s="1"/>
      <c r="JJ54" s="1"/>
      <c r="JK54" s="1"/>
      <c r="JL54" s="1"/>
      <c r="JM54" s="1"/>
      <c r="JN54" s="1"/>
      <c r="JO54" s="1"/>
      <c r="JP54" s="1"/>
      <c r="JQ54" s="1"/>
      <c r="JR54" s="1"/>
      <c r="JS54" s="1"/>
      <c r="JT54" s="1"/>
      <c r="JU54" s="1"/>
      <c r="JV54" s="1"/>
      <c r="JW54" s="1"/>
      <c r="JX54" s="1"/>
      <c r="JY54" s="1"/>
      <c r="JZ54" s="1"/>
      <c r="KA54" s="1"/>
      <c r="KB54" s="1"/>
      <c r="KC54" s="1"/>
      <c r="KD54" s="1"/>
      <c r="KE54" s="1"/>
      <c r="KF54" s="1"/>
      <c r="KG54" s="1"/>
      <c r="KH54" s="1"/>
      <c r="KI54" s="1"/>
      <c r="KJ54" s="1"/>
      <c r="KK54" s="1"/>
      <c r="KL54" s="1"/>
      <c r="KM54" s="1"/>
      <c r="KN54" s="1"/>
      <c r="KO54" s="1"/>
      <c r="KP54" s="1"/>
      <c r="KQ54" s="1"/>
      <c r="KR54" s="1"/>
      <c r="KS54" s="1"/>
      <c r="KT54" s="1"/>
      <c r="KU54" s="1"/>
      <c r="KV54" s="1"/>
      <c r="KW54" s="1"/>
      <c r="KX54" s="1"/>
      <c r="KY54" s="1"/>
      <c r="KZ54" s="1"/>
      <c r="LA54" s="1"/>
      <c r="LB54" s="1"/>
      <c r="LC54" s="1"/>
      <c r="LD54" s="1"/>
      <c r="LE54" s="1"/>
      <c r="LF54" s="1"/>
      <c r="LG54" s="1"/>
      <c r="LH54" s="1"/>
      <c r="LI54" s="1"/>
      <c r="LJ54" s="1"/>
      <c r="LK54" s="1"/>
      <c r="LL54" s="1"/>
      <c r="LM54" s="1"/>
      <c r="LN54" s="1"/>
      <c r="LO54" s="1"/>
      <c r="LP54" s="1"/>
      <c r="LQ54" s="1"/>
      <c r="LR54" s="1"/>
      <c r="LS54" s="1"/>
      <c r="LT54" s="1"/>
      <c r="LU54" s="1"/>
      <c r="LV54" s="1"/>
      <c r="LW54" s="1"/>
      <c r="LX54" s="1"/>
      <c r="LY54" s="1"/>
      <c r="LZ54" s="1"/>
      <c r="MA54" s="1"/>
      <c r="MB54" s="1"/>
      <c r="MC54" s="1"/>
      <c r="MD54" s="1"/>
      <c r="ME54" s="1"/>
      <c r="MF54" s="1"/>
      <c r="MG54" s="1"/>
      <c r="MH54" s="1"/>
      <c r="MI54" s="1"/>
      <c r="MJ54" s="1"/>
      <c r="MK54" s="1"/>
      <c r="ML54" s="1"/>
      <c r="MM54" s="1"/>
      <c r="MN54" s="1"/>
      <c r="MO54" s="1"/>
      <c r="MP54" s="1"/>
      <c r="MQ54" s="1"/>
      <c r="MR54" s="1"/>
      <c r="MS54" s="1"/>
      <c r="MT54" s="1"/>
      <c r="MU54" s="1"/>
      <c r="MV54" s="1"/>
      <c r="MW54" s="1"/>
      <c r="MX54" s="1"/>
      <c r="MY54" s="1"/>
      <c r="MZ54" s="1" t="s">
        <v>37</v>
      </c>
      <c r="NA54" s="1"/>
      <c r="NB54" s="1"/>
      <c r="NC54" s="1"/>
      <c r="ND54" s="1"/>
      <c r="NE54" s="1"/>
      <c r="NF54" s="1"/>
      <c r="NG54" s="1"/>
      <c r="NH54" s="1"/>
      <c r="NI54" s="1"/>
      <c r="NK54" s="18">
        <f t="array" aca="1" ref="NK54" ca="1">SUMPRODUCT((OFFSET($A54,0,1,1,372)&lt;&gt;"")*(IF(OFFSET($A54,0,1,1,372)=$NX$16,0.5,IF(OFFSET($A54,0,1,1,372)=$NX$17,0.5,1))*(OFFSET($A$3,0,1,1,372))))</f>
        <v>1</v>
      </c>
      <c r="NL54" s="23">
        <f t="shared" ca="1" si="9"/>
        <v>0</v>
      </c>
      <c r="NM54" s="23">
        <f t="shared" ca="1" si="9"/>
        <v>0</v>
      </c>
      <c r="NN54" s="23">
        <f t="shared" ca="1" si="9"/>
        <v>0</v>
      </c>
      <c r="NO54" s="23">
        <f t="shared" ca="1" si="9"/>
        <v>1</v>
      </c>
      <c r="NP54" s="23">
        <f t="shared" ca="1" si="9"/>
        <v>0</v>
      </c>
      <c r="NQ54" s="23">
        <f t="shared" ca="1" si="9"/>
        <v>0</v>
      </c>
      <c r="NR54" s="23">
        <f t="shared" ca="1" si="9"/>
        <v>0</v>
      </c>
      <c r="NS54" s="23">
        <f t="shared" ca="1" si="9"/>
        <v>0</v>
      </c>
      <c r="NT54" s="23">
        <f t="shared" ca="1" si="9"/>
        <v>0</v>
      </c>
      <c r="NU54" s="23">
        <f t="shared" ca="1" si="9"/>
        <v>0</v>
      </c>
    </row>
    <row r="55" spans="1:385" x14ac:dyDescent="0.25">
      <c r="A55" s="1" t="s">
        <v>183</v>
      </c>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c r="GF55" s="1"/>
      <c r="GG55" s="1"/>
      <c r="GH55" s="1"/>
      <c r="GI55" s="1"/>
      <c r="GJ55" s="1"/>
      <c r="GK55" s="1"/>
      <c r="GL55" s="1"/>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1"/>
      <c r="HQ55" s="1"/>
      <c r="HR55" s="1"/>
      <c r="HS55" s="1"/>
      <c r="HT55" s="1"/>
      <c r="HU55" s="1"/>
      <c r="HV55" s="1"/>
      <c r="HW55" s="1"/>
      <c r="HX55" s="1"/>
      <c r="HY55" s="1"/>
      <c r="HZ55" s="1"/>
      <c r="IA55" s="1"/>
      <c r="IB55" s="1"/>
      <c r="IC55" s="1"/>
      <c r="ID55" s="1"/>
      <c r="IE55" s="1"/>
      <c r="IF55" s="1"/>
      <c r="IG55" s="1"/>
      <c r="IH55" s="1"/>
      <c r="II55" s="1"/>
      <c r="IJ55" s="1"/>
      <c r="IK55" s="1"/>
      <c r="IL55" s="1"/>
      <c r="IM55" s="1"/>
      <c r="IN55" s="1"/>
      <c r="IO55" s="1"/>
      <c r="IP55" s="1"/>
      <c r="IQ55" s="1"/>
      <c r="IR55" s="1"/>
      <c r="IS55" s="1"/>
      <c r="IT55" s="1"/>
      <c r="IU55" s="1"/>
      <c r="IV55" s="1"/>
      <c r="IW55" s="1"/>
      <c r="IX55" s="1"/>
      <c r="IY55" s="1"/>
      <c r="IZ55" s="1"/>
      <c r="JA55" s="1"/>
      <c r="JB55" s="1"/>
      <c r="JC55" s="1"/>
      <c r="JD55" s="1"/>
      <c r="JE55" s="1"/>
      <c r="JF55" s="1"/>
      <c r="JG55" s="1"/>
      <c r="JH55" s="1"/>
      <c r="JI55" s="1"/>
      <c r="JJ55" s="1"/>
      <c r="JK55" s="1"/>
      <c r="JL55" s="1"/>
      <c r="JM55" s="1"/>
      <c r="JN55" s="1"/>
      <c r="JO55" s="1"/>
      <c r="JP55" s="1"/>
      <c r="JQ55" s="1"/>
      <c r="JR55" s="1"/>
      <c r="JS55" s="1"/>
      <c r="JT55" s="1"/>
      <c r="JU55" s="1"/>
      <c r="JV55" s="1"/>
      <c r="JW55" s="1"/>
      <c r="JX55" s="1"/>
      <c r="JY55" s="1"/>
      <c r="JZ55" s="1"/>
      <c r="KA55" s="1"/>
      <c r="KB55" s="1"/>
      <c r="KC55" s="1"/>
      <c r="KD55" s="1"/>
      <c r="KE55" s="1"/>
      <c r="KF55" s="1"/>
      <c r="KG55" s="1"/>
      <c r="KH55" s="1"/>
      <c r="KI55" s="1"/>
      <c r="KJ55" s="1"/>
      <c r="KK55" s="1"/>
      <c r="KL55" s="1"/>
      <c r="KM55" s="1"/>
      <c r="KN55" s="1"/>
      <c r="KO55" s="1"/>
      <c r="KP55" s="1"/>
      <c r="KQ55" s="1"/>
      <c r="KR55" s="1"/>
      <c r="KS55" s="1"/>
      <c r="KT55" s="1"/>
      <c r="KU55" s="1"/>
      <c r="KV55" s="1"/>
      <c r="KW55" s="1"/>
      <c r="KX55" s="1"/>
      <c r="KY55" s="1"/>
      <c r="KZ55" s="1"/>
      <c r="LA55" s="1"/>
      <c r="LB55" s="1"/>
      <c r="LC55" s="1"/>
      <c r="LD55" s="1"/>
      <c r="LE55" s="1"/>
      <c r="LF55" s="1"/>
      <c r="LG55" s="1"/>
      <c r="LH55" s="1"/>
      <c r="LI55" s="1"/>
      <c r="LJ55" s="1"/>
      <c r="LK55" s="1"/>
      <c r="LL55" s="1"/>
      <c r="LM55" s="1"/>
      <c r="LN55" s="1"/>
      <c r="LO55" s="1"/>
      <c r="LP55" s="1"/>
      <c r="LQ55" s="1"/>
      <c r="LR55" s="1"/>
      <c r="LS55" s="1"/>
      <c r="LT55" s="1"/>
      <c r="LU55" s="1"/>
      <c r="LV55" s="1"/>
      <c r="LW55" s="1"/>
      <c r="LX55" s="1"/>
      <c r="LY55" s="1"/>
      <c r="LZ55" s="1"/>
      <c r="MA55" s="1"/>
      <c r="MB55" s="1"/>
      <c r="MC55" s="1"/>
      <c r="MD55" s="1"/>
      <c r="ME55" s="1"/>
      <c r="MF55" s="1"/>
      <c r="MG55" s="1"/>
      <c r="MH55" s="1"/>
      <c r="MI55" s="1"/>
      <c r="MJ55" s="1"/>
      <c r="MK55" s="1"/>
      <c r="ML55" s="1"/>
      <c r="MM55" s="1"/>
      <c r="MN55" s="1"/>
      <c r="MO55" s="1"/>
      <c r="MP55" s="1"/>
      <c r="MQ55" s="1"/>
      <c r="MR55" s="1"/>
      <c r="MS55" s="1"/>
      <c r="MT55" s="1"/>
      <c r="MU55" s="1"/>
      <c r="MV55" s="1"/>
      <c r="MW55" s="1"/>
      <c r="MX55" s="1"/>
      <c r="MY55" s="1"/>
      <c r="MZ55" s="1" t="s">
        <v>37</v>
      </c>
      <c r="NA55" s="1"/>
      <c r="NB55" s="1"/>
      <c r="NC55" s="1"/>
      <c r="ND55" s="1"/>
      <c r="NE55" s="1"/>
      <c r="NF55" s="1"/>
      <c r="NG55" s="1"/>
      <c r="NH55" s="1"/>
      <c r="NI55" s="1"/>
      <c r="NK55" s="18">
        <f t="array" aca="1" ref="NK55" ca="1">SUMPRODUCT((OFFSET($A55,0,1,1,372)&lt;&gt;"")*(IF(OFFSET($A55,0,1,1,372)=$NX$16,0.5,IF(OFFSET($A55,0,1,1,372)=$NX$17,0.5,1))*(OFFSET($A$3,0,1,1,372))))</f>
        <v>1</v>
      </c>
      <c r="NL55" s="23">
        <f t="shared" ca="1" si="9"/>
        <v>0</v>
      </c>
      <c r="NM55" s="23">
        <f t="shared" ca="1" si="9"/>
        <v>0</v>
      </c>
      <c r="NN55" s="23">
        <f t="shared" ca="1" si="9"/>
        <v>0</v>
      </c>
      <c r="NO55" s="23">
        <f t="shared" ca="1" si="9"/>
        <v>1</v>
      </c>
      <c r="NP55" s="23">
        <f t="shared" ca="1" si="9"/>
        <v>0</v>
      </c>
      <c r="NQ55" s="23">
        <f t="shared" ca="1" si="9"/>
        <v>0</v>
      </c>
      <c r="NR55" s="23">
        <f t="shared" ca="1" si="9"/>
        <v>0</v>
      </c>
      <c r="NS55" s="23">
        <f t="shared" ca="1" si="9"/>
        <v>0</v>
      </c>
      <c r="NT55" s="23">
        <f t="shared" ca="1" si="9"/>
        <v>0</v>
      </c>
      <c r="NU55" s="23">
        <f t="shared" ca="1" si="9"/>
        <v>0</v>
      </c>
    </row>
    <row r="56" spans="1:385" x14ac:dyDescent="0.25">
      <c r="A56" s="1" t="s">
        <v>184</v>
      </c>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c r="GF56" s="1"/>
      <c r="GG56" s="1"/>
      <c r="GH56" s="1"/>
      <c r="GI56" s="1"/>
      <c r="GJ56" s="1"/>
      <c r="GK56" s="1"/>
      <c r="GL56" s="1"/>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1"/>
      <c r="HQ56" s="1"/>
      <c r="HR56" s="1"/>
      <c r="HS56" s="1"/>
      <c r="HT56" s="1"/>
      <c r="HU56" s="1"/>
      <c r="HV56" s="1"/>
      <c r="HW56" s="1"/>
      <c r="HX56" s="1"/>
      <c r="HY56" s="1"/>
      <c r="HZ56" s="1"/>
      <c r="IA56" s="1"/>
      <c r="IB56" s="1"/>
      <c r="IC56" s="1"/>
      <c r="ID56" s="1"/>
      <c r="IE56" s="1"/>
      <c r="IF56" s="1"/>
      <c r="IG56" s="1"/>
      <c r="IH56" s="1"/>
      <c r="II56" s="1"/>
      <c r="IJ56" s="1"/>
      <c r="IK56" s="1"/>
      <c r="IL56" s="1"/>
      <c r="IM56" s="1"/>
      <c r="IN56" s="1"/>
      <c r="IO56" s="1"/>
      <c r="IP56" s="1"/>
      <c r="IQ56" s="1"/>
      <c r="IR56" s="1"/>
      <c r="IS56" s="1"/>
      <c r="IT56" s="1"/>
      <c r="IU56" s="1"/>
      <c r="IV56" s="1"/>
      <c r="IW56" s="1"/>
      <c r="IX56" s="1"/>
      <c r="IY56" s="1"/>
      <c r="IZ56" s="1"/>
      <c r="JA56" s="1"/>
      <c r="JB56" s="1"/>
      <c r="JC56" s="1"/>
      <c r="JD56" s="1"/>
      <c r="JE56" s="1"/>
      <c r="JF56" s="1"/>
      <c r="JG56" s="1"/>
      <c r="JH56" s="1"/>
      <c r="JI56" s="1"/>
      <c r="JJ56" s="1"/>
      <c r="JK56" s="1"/>
      <c r="JL56" s="1"/>
      <c r="JM56" s="1"/>
      <c r="JN56" s="1"/>
      <c r="JO56" s="1"/>
      <c r="JP56" s="1"/>
      <c r="JQ56" s="1"/>
      <c r="JR56" s="1"/>
      <c r="JS56" s="1"/>
      <c r="JT56" s="1"/>
      <c r="JU56" s="1"/>
      <c r="JV56" s="1"/>
      <c r="JW56" s="1"/>
      <c r="JX56" s="1"/>
      <c r="JY56" s="1"/>
      <c r="JZ56" s="1"/>
      <c r="KA56" s="1"/>
      <c r="KB56" s="1"/>
      <c r="KC56" s="1"/>
      <c r="KD56" s="1"/>
      <c r="KE56" s="1"/>
      <c r="KF56" s="1"/>
      <c r="KG56" s="1"/>
      <c r="KH56" s="1"/>
      <c r="KI56" s="1"/>
      <c r="KJ56" s="1"/>
      <c r="KK56" s="1"/>
      <c r="KL56" s="1"/>
      <c r="KM56" s="1"/>
      <c r="KN56" s="1"/>
      <c r="KO56" s="1"/>
      <c r="KP56" s="1"/>
      <c r="KQ56" s="1"/>
      <c r="KR56" s="1"/>
      <c r="KS56" s="1"/>
      <c r="KT56" s="1"/>
      <c r="KU56" s="1"/>
      <c r="KV56" s="1"/>
      <c r="KW56" s="1"/>
      <c r="KX56" s="1"/>
      <c r="KY56" s="1"/>
      <c r="KZ56" s="1"/>
      <c r="LA56" s="1"/>
      <c r="LB56" s="1"/>
      <c r="LC56" s="1"/>
      <c r="LD56" s="1"/>
      <c r="LE56" s="1"/>
      <c r="LF56" s="1"/>
      <c r="LG56" s="1"/>
      <c r="LH56" s="1"/>
      <c r="LI56" s="1"/>
      <c r="LJ56" s="1"/>
      <c r="LK56" s="1"/>
      <c r="LL56" s="1"/>
      <c r="LM56" s="1"/>
      <c r="LN56" s="1"/>
      <c r="LO56" s="1"/>
      <c r="LP56" s="1"/>
      <c r="LQ56" s="1"/>
      <c r="LR56" s="1"/>
      <c r="LS56" s="1"/>
      <c r="LT56" s="1"/>
      <c r="LU56" s="1"/>
      <c r="LV56" s="1"/>
      <c r="LW56" s="1"/>
      <c r="LX56" s="1"/>
      <c r="LY56" s="1"/>
      <c r="LZ56" s="1"/>
      <c r="MA56" s="1"/>
      <c r="MB56" s="1"/>
      <c r="MC56" s="1"/>
      <c r="MD56" s="1"/>
      <c r="ME56" s="1"/>
      <c r="MF56" s="1"/>
      <c r="MG56" s="1"/>
      <c r="MH56" s="1"/>
      <c r="MI56" s="1"/>
      <c r="MJ56" s="1"/>
      <c r="MK56" s="1"/>
      <c r="ML56" s="1"/>
      <c r="MM56" s="1"/>
      <c r="MN56" s="1"/>
      <c r="MO56" s="1"/>
      <c r="MP56" s="1"/>
      <c r="MQ56" s="1"/>
      <c r="MR56" s="1"/>
      <c r="MS56" s="1"/>
      <c r="MT56" s="1"/>
      <c r="MU56" s="1"/>
      <c r="MV56" s="1"/>
      <c r="MW56" s="1"/>
      <c r="MX56" s="1"/>
      <c r="MY56" s="1"/>
      <c r="MZ56" s="1" t="s">
        <v>37</v>
      </c>
      <c r="NA56" s="1"/>
      <c r="NB56" s="1"/>
      <c r="NC56" s="1"/>
      <c r="ND56" s="1"/>
      <c r="NE56" s="1"/>
      <c r="NF56" s="1"/>
      <c r="NG56" s="1"/>
      <c r="NH56" s="1"/>
      <c r="NI56" s="1"/>
      <c r="NK56" s="18">
        <f t="array" aca="1" ref="NK56" ca="1">SUMPRODUCT((OFFSET($A56,0,1,1,372)&lt;&gt;"")*(IF(OFFSET($A56,0,1,1,372)=$NX$16,0.5,IF(OFFSET($A56,0,1,1,372)=$NX$17,0.5,1))*(OFFSET($A$3,0,1,1,372))))</f>
        <v>1</v>
      </c>
      <c r="NL56" s="23">
        <f t="shared" ca="1" si="9"/>
        <v>0</v>
      </c>
      <c r="NM56" s="23">
        <f t="shared" ca="1" si="9"/>
        <v>0</v>
      </c>
      <c r="NN56" s="23">
        <f t="shared" ca="1" si="9"/>
        <v>0</v>
      </c>
      <c r="NO56" s="23">
        <f t="shared" ca="1" si="9"/>
        <v>1</v>
      </c>
      <c r="NP56" s="23">
        <f t="shared" ca="1" si="9"/>
        <v>0</v>
      </c>
      <c r="NQ56" s="23">
        <f t="shared" ca="1" si="9"/>
        <v>0</v>
      </c>
      <c r="NR56" s="23">
        <f t="shared" ca="1" si="9"/>
        <v>0</v>
      </c>
      <c r="NS56" s="23">
        <f t="shared" ca="1" si="9"/>
        <v>0</v>
      </c>
      <c r="NT56" s="23">
        <f t="shared" ca="1" si="9"/>
        <v>0</v>
      </c>
      <c r="NU56" s="23">
        <f t="shared" ca="1" si="9"/>
        <v>0</v>
      </c>
    </row>
    <row r="57" spans="1:385" x14ac:dyDescent="0.25">
      <c r="A57" s="1" t="s">
        <v>185</v>
      </c>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c r="GF57" s="1"/>
      <c r="GG57" s="1"/>
      <c r="GH57" s="1"/>
      <c r="GI57" s="1"/>
      <c r="GJ57" s="1"/>
      <c r="GK57" s="1"/>
      <c r="GL57" s="1"/>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1"/>
      <c r="HQ57" s="1"/>
      <c r="HR57" s="1"/>
      <c r="HS57" s="1"/>
      <c r="HT57" s="1"/>
      <c r="HU57" s="1"/>
      <c r="HV57" s="1"/>
      <c r="HW57" s="1"/>
      <c r="HX57" s="1"/>
      <c r="HY57" s="1"/>
      <c r="HZ57" s="1"/>
      <c r="IA57" s="1"/>
      <c r="IB57" s="1"/>
      <c r="IC57" s="1"/>
      <c r="ID57" s="1"/>
      <c r="IE57" s="1"/>
      <c r="IF57" s="1"/>
      <c r="IG57" s="1"/>
      <c r="IH57" s="1"/>
      <c r="II57" s="1"/>
      <c r="IJ57" s="1"/>
      <c r="IK57" s="1"/>
      <c r="IL57" s="1"/>
      <c r="IM57" s="1"/>
      <c r="IN57" s="1"/>
      <c r="IO57" s="1"/>
      <c r="IP57" s="1"/>
      <c r="IQ57" s="1"/>
      <c r="IR57" s="1"/>
      <c r="IS57" s="1"/>
      <c r="IT57" s="1"/>
      <c r="IU57" s="1"/>
      <c r="IV57" s="1"/>
      <c r="IW57" s="1"/>
      <c r="IX57" s="1"/>
      <c r="IY57" s="1"/>
      <c r="IZ57" s="1"/>
      <c r="JA57" s="1"/>
      <c r="JB57" s="1"/>
      <c r="JC57" s="1"/>
      <c r="JD57" s="1"/>
      <c r="JE57" s="1"/>
      <c r="JF57" s="1"/>
      <c r="JG57" s="1"/>
      <c r="JH57" s="1"/>
      <c r="JI57" s="1"/>
      <c r="JJ57" s="1"/>
      <c r="JK57" s="1"/>
      <c r="JL57" s="1"/>
      <c r="JM57" s="1"/>
      <c r="JN57" s="1"/>
      <c r="JO57" s="1"/>
      <c r="JP57" s="1"/>
      <c r="JQ57" s="1"/>
      <c r="JR57" s="1"/>
      <c r="JS57" s="1"/>
      <c r="JT57" s="1"/>
      <c r="JU57" s="1"/>
      <c r="JV57" s="1"/>
      <c r="JW57" s="1"/>
      <c r="JX57" s="1"/>
      <c r="JY57" s="1"/>
      <c r="JZ57" s="1"/>
      <c r="KA57" s="1"/>
      <c r="KB57" s="1"/>
      <c r="KC57" s="1"/>
      <c r="KD57" s="1"/>
      <c r="KE57" s="1"/>
      <c r="KF57" s="1"/>
      <c r="KG57" s="1"/>
      <c r="KH57" s="1"/>
      <c r="KI57" s="1"/>
      <c r="KJ57" s="1"/>
      <c r="KK57" s="1"/>
      <c r="KL57" s="1"/>
      <c r="KM57" s="1"/>
      <c r="KN57" s="1"/>
      <c r="KO57" s="1"/>
      <c r="KP57" s="1"/>
      <c r="KQ57" s="1"/>
      <c r="KR57" s="1"/>
      <c r="KS57" s="1"/>
      <c r="KT57" s="1"/>
      <c r="KU57" s="1"/>
      <c r="KV57" s="1"/>
      <c r="KW57" s="1"/>
      <c r="KX57" s="1"/>
      <c r="KY57" s="1"/>
      <c r="KZ57" s="1"/>
      <c r="LA57" s="1"/>
      <c r="LB57" s="1"/>
      <c r="LC57" s="1"/>
      <c r="LD57" s="1"/>
      <c r="LE57" s="1"/>
      <c r="LF57" s="1"/>
      <c r="LG57" s="1"/>
      <c r="LH57" s="1"/>
      <c r="LI57" s="1"/>
      <c r="LJ57" s="1"/>
      <c r="LK57" s="1"/>
      <c r="LL57" s="1"/>
      <c r="LM57" s="1"/>
      <c r="LN57" s="1"/>
      <c r="LO57" s="1"/>
      <c r="LP57" s="1"/>
      <c r="LQ57" s="1"/>
      <c r="LR57" s="1"/>
      <c r="LS57" s="1"/>
      <c r="LT57" s="1"/>
      <c r="LU57" s="1"/>
      <c r="LV57" s="1"/>
      <c r="LW57" s="1"/>
      <c r="LX57" s="1"/>
      <c r="LY57" s="1"/>
      <c r="LZ57" s="1"/>
      <c r="MA57" s="1"/>
      <c r="MB57" s="1"/>
      <c r="MC57" s="1"/>
      <c r="MD57" s="1"/>
      <c r="ME57" s="1"/>
      <c r="MF57" s="1"/>
      <c r="MG57" s="1"/>
      <c r="MH57" s="1"/>
      <c r="MI57" s="1"/>
      <c r="MJ57" s="1"/>
      <c r="MK57" s="1"/>
      <c r="ML57" s="1"/>
      <c r="MM57" s="1"/>
      <c r="MN57" s="1"/>
      <c r="MO57" s="1"/>
      <c r="MP57" s="1"/>
      <c r="MQ57" s="1"/>
      <c r="MR57" s="1"/>
      <c r="MS57" s="1"/>
      <c r="MT57" s="1"/>
      <c r="MU57" s="1"/>
      <c r="MV57" s="1"/>
      <c r="MW57" s="1"/>
      <c r="MX57" s="1"/>
      <c r="MY57" s="1"/>
      <c r="MZ57" s="1" t="s">
        <v>37</v>
      </c>
      <c r="NA57" s="1"/>
      <c r="NB57" s="1"/>
      <c r="NC57" s="1"/>
      <c r="ND57" s="1"/>
      <c r="NE57" s="1"/>
      <c r="NF57" s="1"/>
      <c r="NG57" s="1"/>
      <c r="NH57" s="1"/>
      <c r="NI57" s="1"/>
      <c r="NK57" s="18">
        <f t="array" aca="1" ref="NK57" ca="1">SUMPRODUCT((OFFSET($A57,0,1,1,372)&lt;&gt;"")*(IF(OFFSET($A57,0,1,1,372)=$NX$16,0.5,IF(OFFSET($A57,0,1,1,372)=$NX$17,0.5,1))*(OFFSET($A$3,0,1,1,372))))</f>
        <v>1</v>
      </c>
      <c r="NL57" s="23">
        <f t="shared" ca="1" si="9"/>
        <v>0</v>
      </c>
      <c r="NM57" s="23">
        <f t="shared" ca="1" si="9"/>
        <v>0</v>
      </c>
      <c r="NN57" s="23">
        <f t="shared" ca="1" si="9"/>
        <v>0</v>
      </c>
      <c r="NO57" s="23">
        <f t="shared" ca="1" si="9"/>
        <v>1</v>
      </c>
      <c r="NP57" s="23">
        <f t="shared" ca="1" si="9"/>
        <v>0</v>
      </c>
      <c r="NQ57" s="23">
        <f t="shared" ca="1" si="9"/>
        <v>0</v>
      </c>
      <c r="NR57" s="23">
        <f t="shared" ca="1" si="9"/>
        <v>0</v>
      </c>
      <c r="NS57" s="23">
        <f t="shared" ca="1" si="9"/>
        <v>0</v>
      </c>
      <c r="NT57" s="23">
        <f t="shared" ca="1" si="9"/>
        <v>0</v>
      </c>
      <c r="NU57" s="23">
        <f t="shared" ca="1" si="9"/>
        <v>0</v>
      </c>
    </row>
    <row r="58" spans="1:385" x14ac:dyDescent="0.25">
      <c r="A58" s="1" t="s">
        <v>186</v>
      </c>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c r="GF58" s="1"/>
      <c r="GG58" s="1"/>
      <c r="GH58" s="1"/>
      <c r="GI58" s="1"/>
      <c r="GJ58" s="1"/>
      <c r="GK58" s="1"/>
      <c r="GL58" s="1"/>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1"/>
      <c r="HQ58" s="1"/>
      <c r="HR58" s="1"/>
      <c r="HS58" s="1"/>
      <c r="HT58" s="1"/>
      <c r="HU58" s="1"/>
      <c r="HV58" s="1"/>
      <c r="HW58" s="1"/>
      <c r="HX58" s="1"/>
      <c r="HY58" s="1"/>
      <c r="HZ58" s="1"/>
      <c r="IA58" s="1"/>
      <c r="IB58" s="1"/>
      <c r="IC58" s="1"/>
      <c r="ID58" s="1"/>
      <c r="IE58" s="1"/>
      <c r="IF58" s="1"/>
      <c r="IG58" s="1"/>
      <c r="IH58" s="1"/>
      <c r="II58" s="1"/>
      <c r="IJ58" s="1"/>
      <c r="IK58" s="1"/>
      <c r="IL58" s="1"/>
      <c r="IM58" s="1"/>
      <c r="IN58" s="1"/>
      <c r="IO58" s="1"/>
      <c r="IP58" s="1"/>
      <c r="IQ58" s="1"/>
      <c r="IR58" s="1"/>
      <c r="IS58" s="1"/>
      <c r="IT58" s="1"/>
      <c r="IU58" s="1"/>
      <c r="IV58" s="1"/>
      <c r="IW58" s="1"/>
      <c r="IX58" s="1"/>
      <c r="IY58" s="1"/>
      <c r="IZ58" s="1"/>
      <c r="JA58" s="1"/>
      <c r="JB58" s="1"/>
      <c r="JC58" s="1"/>
      <c r="JD58" s="1"/>
      <c r="JE58" s="1"/>
      <c r="JF58" s="1"/>
      <c r="JG58" s="1"/>
      <c r="JH58" s="1"/>
      <c r="JI58" s="1"/>
      <c r="JJ58" s="1"/>
      <c r="JK58" s="1"/>
      <c r="JL58" s="1"/>
      <c r="JM58" s="1"/>
      <c r="JN58" s="1"/>
      <c r="JO58" s="1"/>
      <c r="JP58" s="1"/>
      <c r="JQ58" s="1"/>
      <c r="JR58" s="1"/>
      <c r="JS58" s="1"/>
      <c r="JT58" s="1"/>
      <c r="JU58" s="1"/>
      <c r="JV58" s="1"/>
      <c r="JW58" s="1"/>
      <c r="JX58" s="1"/>
      <c r="JY58" s="1"/>
      <c r="JZ58" s="1"/>
      <c r="KA58" s="1"/>
      <c r="KB58" s="1"/>
      <c r="KC58" s="1"/>
      <c r="KD58" s="1"/>
      <c r="KE58" s="1"/>
      <c r="KF58" s="1"/>
      <c r="KG58" s="1"/>
      <c r="KH58" s="1"/>
      <c r="KI58" s="1"/>
      <c r="KJ58" s="1"/>
      <c r="KK58" s="1"/>
      <c r="KL58" s="1"/>
      <c r="KM58" s="1"/>
      <c r="KN58" s="1"/>
      <c r="KO58" s="1"/>
      <c r="KP58" s="1"/>
      <c r="KQ58" s="1"/>
      <c r="KR58" s="1"/>
      <c r="KS58" s="1"/>
      <c r="KT58" s="1"/>
      <c r="KU58" s="1"/>
      <c r="KV58" s="1"/>
      <c r="KW58" s="1"/>
      <c r="KX58" s="1"/>
      <c r="KY58" s="1"/>
      <c r="KZ58" s="1"/>
      <c r="LA58" s="1"/>
      <c r="LB58" s="1"/>
      <c r="LC58" s="1"/>
      <c r="LD58" s="1"/>
      <c r="LE58" s="1"/>
      <c r="LF58" s="1"/>
      <c r="LG58" s="1"/>
      <c r="LH58" s="1"/>
      <c r="LI58" s="1"/>
      <c r="LJ58" s="1"/>
      <c r="LK58" s="1"/>
      <c r="LL58" s="1"/>
      <c r="LM58" s="1"/>
      <c r="LN58" s="1"/>
      <c r="LO58" s="1"/>
      <c r="LP58" s="1"/>
      <c r="LQ58" s="1"/>
      <c r="LR58" s="1"/>
      <c r="LS58" s="1"/>
      <c r="LT58" s="1"/>
      <c r="LU58" s="1"/>
      <c r="LV58" s="1"/>
      <c r="LW58" s="1"/>
      <c r="LX58" s="1"/>
      <c r="LY58" s="1"/>
      <c r="LZ58" s="1"/>
      <c r="MA58" s="1"/>
      <c r="MB58" s="1"/>
      <c r="MC58" s="1"/>
      <c r="MD58" s="1"/>
      <c r="ME58" s="1"/>
      <c r="MF58" s="1"/>
      <c r="MG58" s="1"/>
      <c r="MH58" s="1"/>
      <c r="MI58" s="1"/>
      <c r="MJ58" s="1"/>
      <c r="MK58" s="1"/>
      <c r="ML58" s="1"/>
      <c r="MM58" s="1"/>
      <c r="MN58" s="1"/>
      <c r="MO58" s="1"/>
      <c r="MP58" s="1"/>
      <c r="MQ58" s="1"/>
      <c r="MR58" s="1"/>
      <c r="MS58" s="1"/>
      <c r="MT58" s="1"/>
      <c r="MU58" s="1"/>
      <c r="MV58" s="1"/>
      <c r="MW58" s="1"/>
      <c r="MX58" s="1"/>
      <c r="MY58" s="1"/>
      <c r="MZ58" s="1" t="s">
        <v>37</v>
      </c>
      <c r="NA58" s="1"/>
      <c r="NB58" s="1"/>
      <c r="NC58" s="1"/>
      <c r="ND58" s="1"/>
      <c r="NE58" s="1"/>
      <c r="NF58" s="1"/>
      <c r="NG58" s="1"/>
      <c r="NH58" s="1"/>
      <c r="NI58" s="1"/>
      <c r="NK58" s="18">
        <f t="array" aca="1" ref="NK58" ca="1">SUMPRODUCT((OFFSET($A58,0,1,1,372)&lt;&gt;"")*(IF(OFFSET($A58,0,1,1,372)=$NX$16,0.5,IF(OFFSET($A58,0,1,1,372)=$NX$17,0.5,1))*(OFFSET($A$3,0,1,1,372))))</f>
        <v>1</v>
      </c>
      <c r="NL58" s="23">
        <f t="shared" ca="1" si="9"/>
        <v>0</v>
      </c>
      <c r="NM58" s="23">
        <f t="shared" ca="1" si="9"/>
        <v>0</v>
      </c>
      <c r="NN58" s="23">
        <f t="shared" ca="1" si="9"/>
        <v>0</v>
      </c>
      <c r="NO58" s="23">
        <f t="shared" ca="1" si="9"/>
        <v>1</v>
      </c>
      <c r="NP58" s="23">
        <f t="shared" ca="1" si="9"/>
        <v>0</v>
      </c>
      <c r="NQ58" s="23">
        <f t="shared" ca="1" si="9"/>
        <v>0</v>
      </c>
      <c r="NR58" s="23">
        <f t="shared" ca="1" si="9"/>
        <v>0</v>
      </c>
      <c r="NS58" s="23">
        <f t="shared" ca="1" si="9"/>
        <v>0</v>
      </c>
      <c r="NT58" s="23">
        <f t="shared" ca="1" si="9"/>
        <v>0</v>
      </c>
      <c r="NU58" s="23">
        <f t="shared" ca="1" si="9"/>
        <v>0</v>
      </c>
    </row>
    <row r="59" spans="1:385" x14ac:dyDescent="0.25">
      <c r="A59" s="1" t="s">
        <v>187</v>
      </c>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c r="GF59" s="1"/>
      <c r="GG59" s="1"/>
      <c r="GH59" s="1"/>
      <c r="GI59" s="1"/>
      <c r="GJ59" s="1"/>
      <c r="GK59" s="1"/>
      <c r="GL59" s="1"/>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1"/>
      <c r="HQ59" s="1"/>
      <c r="HR59" s="1"/>
      <c r="HS59" s="1"/>
      <c r="HT59" s="1"/>
      <c r="HU59" s="1"/>
      <c r="HV59" s="1"/>
      <c r="HW59" s="1"/>
      <c r="HX59" s="1"/>
      <c r="HY59" s="1"/>
      <c r="HZ59" s="1"/>
      <c r="IA59" s="1"/>
      <c r="IB59" s="1"/>
      <c r="IC59" s="1"/>
      <c r="ID59" s="1"/>
      <c r="IE59" s="1"/>
      <c r="IF59" s="1"/>
      <c r="IG59" s="1"/>
      <c r="IH59" s="1"/>
      <c r="II59" s="1"/>
      <c r="IJ59" s="1"/>
      <c r="IK59" s="1"/>
      <c r="IL59" s="1"/>
      <c r="IM59" s="1"/>
      <c r="IN59" s="1"/>
      <c r="IO59" s="1"/>
      <c r="IP59" s="1"/>
      <c r="IQ59" s="1"/>
      <c r="IR59" s="1"/>
      <c r="IS59" s="1"/>
      <c r="IT59" s="1"/>
      <c r="IU59" s="1"/>
      <c r="IV59" s="1"/>
      <c r="IW59" s="1"/>
      <c r="IX59" s="1"/>
      <c r="IY59" s="1"/>
      <c r="IZ59" s="1"/>
      <c r="JA59" s="1"/>
      <c r="JB59" s="1"/>
      <c r="JC59" s="1"/>
      <c r="JD59" s="1"/>
      <c r="JE59" s="1"/>
      <c r="JF59" s="1"/>
      <c r="JG59" s="1"/>
      <c r="JH59" s="1"/>
      <c r="JI59" s="1"/>
      <c r="JJ59" s="1"/>
      <c r="JK59" s="1"/>
      <c r="JL59" s="1"/>
      <c r="JM59" s="1"/>
      <c r="JN59" s="1"/>
      <c r="JO59" s="1"/>
      <c r="JP59" s="1"/>
      <c r="JQ59" s="1"/>
      <c r="JR59" s="1"/>
      <c r="JS59" s="1"/>
      <c r="JT59" s="1"/>
      <c r="JU59" s="1"/>
      <c r="JV59" s="1"/>
      <c r="JW59" s="1"/>
      <c r="JX59" s="1"/>
      <c r="JY59" s="1"/>
      <c r="JZ59" s="1"/>
      <c r="KA59" s="1"/>
      <c r="KB59" s="1"/>
      <c r="KC59" s="1"/>
      <c r="KD59" s="1"/>
      <c r="KE59" s="1"/>
      <c r="KF59" s="1"/>
      <c r="KG59" s="1"/>
      <c r="KH59" s="1"/>
      <c r="KI59" s="1"/>
      <c r="KJ59" s="1"/>
      <c r="KK59" s="1"/>
      <c r="KL59" s="1"/>
      <c r="KM59" s="1"/>
      <c r="KN59" s="1"/>
      <c r="KO59" s="1"/>
      <c r="KP59" s="1"/>
      <c r="KQ59" s="1"/>
      <c r="KR59" s="1"/>
      <c r="KS59" s="1"/>
      <c r="KT59" s="1"/>
      <c r="KU59" s="1"/>
      <c r="KV59" s="1"/>
      <c r="KW59" s="1"/>
      <c r="KX59" s="1"/>
      <c r="KY59" s="1"/>
      <c r="KZ59" s="1"/>
      <c r="LA59" s="1"/>
      <c r="LB59" s="1"/>
      <c r="LC59" s="1"/>
      <c r="LD59" s="1"/>
      <c r="LE59" s="1"/>
      <c r="LF59" s="1"/>
      <c r="LG59" s="1"/>
      <c r="LH59" s="1"/>
      <c r="LI59" s="1"/>
      <c r="LJ59" s="1"/>
      <c r="LK59" s="1"/>
      <c r="LL59" s="1"/>
      <c r="LM59" s="1"/>
      <c r="LN59" s="1"/>
      <c r="LO59" s="1"/>
      <c r="LP59" s="1"/>
      <c r="LQ59" s="1"/>
      <c r="LR59" s="1"/>
      <c r="LS59" s="1"/>
      <c r="LT59" s="1"/>
      <c r="LU59" s="1"/>
      <c r="LV59" s="1"/>
      <c r="LW59" s="1"/>
      <c r="LX59" s="1"/>
      <c r="LY59" s="1"/>
      <c r="LZ59" s="1"/>
      <c r="MA59" s="1"/>
      <c r="MB59" s="1"/>
      <c r="MC59" s="1"/>
      <c r="MD59" s="1"/>
      <c r="ME59" s="1"/>
      <c r="MF59" s="1"/>
      <c r="MG59" s="1"/>
      <c r="MH59" s="1"/>
      <c r="MI59" s="1"/>
      <c r="MJ59" s="1"/>
      <c r="MK59" s="1"/>
      <c r="ML59" s="1"/>
      <c r="MM59" s="1"/>
      <c r="MN59" s="1"/>
      <c r="MO59" s="1"/>
      <c r="MP59" s="1"/>
      <c r="MQ59" s="1"/>
      <c r="MR59" s="1"/>
      <c r="MS59" s="1"/>
      <c r="MT59" s="1"/>
      <c r="MU59" s="1"/>
      <c r="MV59" s="1"/>
      <c r="MW59" s="1"/>
      <c r="MX59" s="1"/>
      <c r="MY59" s="1"/>
      <c r="MZ59" s="1" t="s">
        <v>37</v>
      </c>
      <c r="NA59" s="1"/>
      <c r="NB59" s="1"/>
      <c r="NC59" s="1"/>
      <c r="ND59" s="1"/>
      <c r="NE59" s="1"/>
      <c r="NF59" s="1"/>
      <c r="NG59" s="1"/>
      <c r="NH59" s="1"/>
      <c r="NI59" s="1"/>
      <c r="NK59" s="18">
        <f t="array" aca="1" ref="NK59" ca="1">SUMPRODUCT((OFFSET($A59,0,1,1,372)&lt;&gt;"")*(IF(OFFSET($A59,0,1,1,372)=$NX$16,0.5,IF(OFFSET($A59,0,1,1,372)=$NX$17,0.5,1))*(OFFSET($A$3,0,1,1,372))))</f>
        <v>1</v>
      </c>
      <c r="NL59" s="23">
        <f t="shared" ca="1" si="9"/>
        <v>0</v>
      </c>
      <c r="NM59" s="23">
        <f t="shared" ca="1" si="9"/>
        <v>0</v>
      </c>
      <c r="NN59" s="23">
        <f t="shared" ca="1" si="9"/>
        <v>0</v>
      </c>
      <c r="NO59" s="23">
        <f t="shared" ca="1" si="9"/>
        <v>1</v>
      </c>
      <c r="NP59" s="23">
        <f t="shared" ca="1" si="9"/>
        <v>0</v>
      </c>
      <c r="NQ59" s="23">
        <f t="shared" ca="1" si="9"/>
        <v>0</v>
      </c>
      <c r="NR59" s="23">
        <f t="shared" ca="1" si="9"/>
        <v>0</v>
      </c>
      <c r="NS59" s="23">
        <f t="shared" ca="1" si="9"/>
        <v>0</v>
      </c>
      <c r="NT59" s="23">
        <f t="shared" ca="1" si="9"/>
        <v>0</v>
      </c>
      <c r="NU59" s="23">
        <f t="shared" ca="1" si="9"/>
        <v>0</v>
      </c>
    </row>
    <row r="60" spans="1:385" x14ac:dyDescent="0.25">
      <c r="A60" s="1" t="s">
        <v>188</v>
      </c>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c r="GF60" s="1"/>
      <c r="GG60" s="1"/>
      <c r="GH60" s="1"/>
      <c r="GI60" s="1"/>
      <c r="GJ60" s="1"/>
      <c r="GK60" s="1"/>
      <c r="GL60" s="1"/>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1"/>
      <c r="HQ60" s="1"/>
      <c r="HR60" s="1"/>
      <c r="HS60" s="1"/>
      <c r="HT60" s="1"/>
      <c r="HU60" s="1"/>
      <c r="HV60" s="1"/>
      <c r="HW60" s="1"/>
      <c r="HX60" s="1"/>
      <c r="HY60" s="1"/>
      <c r="HZ60" s="1"/>
      <c r="IA60" s="1"/>
      <c r="IB60" s="1"/>
      <c r="IC60" s="1"/>
      <c r="ID60" s="1"/>
      <c r="IE60" s="1"/>
      <c r="IF60" s="1"/>
      <c r="IG60" s="1"/>
      <c r="IH60" s="1"/>
      <c r="II60" s="1"/>
      <c r="IJ60" s="1"/>
      <c r="IK60" s="1"/>
      <c r="IL60" s="1"/>
      <c r="IM60" s="1"/>
      <c r="IN60" s="1"/>
      <c r="IO60" s="1"/>
      <c r="IP60" s="1"/>
      <c r="IQ60" s="1"/>
      <c r="IR60" s="1"/>
      <c r="IS60" s="1"/>
      <c r="IT60" s="1"/>
      <c r="IU60" s="1"/>
      <c r="IV60" s="1"/>
      <c r="IW60" s="1"/>
      <c r="IX60" s="1"/>
      <c r="IY60" s="1"/>
      <c r="IZ60" s="1"/>
      <c r="JA60" s="1"/>
      <c r="JB60" s="1"/>
      <c r="JC60" s="1"/>
      <c r="JD60" s="1"/>
      <c r="JE60" s="1"/>
      <c r="JF60" s="1"/>
      <c r="JG60" s="1"/>
      <c r="JH60" s="1"/>
      <c r="JI60" s="1"/>
      <c r="JJ60" s="1"/>
      <c r="JK60" s="1"/>
      <c r="JL60" s="1"/>
      <c r="JM60" s="1"/>
      <c r="JN60" s="1"/>
      <c r="JO60" s="1"/>
      <c r="JP60" s="1"/>
      <c r="JQ60" s="1"/>
      <c r="JR60" s="1"/>
      <c r="JS60" s="1"/>
      <c r="JT60" s="1"/>
      <c r="JU60" s="1"/>
      <c r="JV60" s="1"/>
      <c r="JW60" s="1"/>
      <c r="JX60" s="1"/>
      <c r="JY60" s="1"/>
      <c r="JZ60" s="1"/>
      <c r="KA60" s="1"/>
      <c r="KB60" s="1"/>
      <c r="KC60" s="1"/>
      <c r="KD60" s="1"/>
      <c r="KE60" s="1"/>
      <c r="KF60" s="1"/>
      <c r="KG60" s="1"/>
      <c r="KH60" s="1"/>
      <c r="KI60" s="1"/>
      <c r="KJ60" s="1"/>
      <c r="KK60" s="1"/>
      <c r="KL60" s="1"/>
      <c r="KM60" s="1"/>
      <c r="KN60" s="1"/>
      <c r="KO60" s="1"/>
      <c r="KP60" s="1"/>
      <c r="KQ60" s="1"/>
      <c r="KR60" s="1"/>
      <c r="KS60" s="1"/>
      <c r="KT60" s="1"/>
      <c r="KU60" s="1"/>
      <c r="KV60" s="1"/>
      <c r="KW60" s="1"/>
      <c r="KX60" s="1"/>
      <c r="KY60" s="1"/>
      <c r="KZ60" s="1"/>
      <c r="LA60" s="1"/>
      <c r="LB60" s="1"/>
      <c r="LC60" s="1"/>
      <c r="LD60" s="1"/>
      <c r="LE60" s="1"/>
      <c r="LF60" s="1"/>
      <c r="LG60" s="1"/>
      <c r="LH60" s="1"/>
      <c r="LI60" s="1"/>
      <c r="LJ60" s="1"/>
      <c r="LK60" s="1"/>
      <c r="LL60" s="1"/>
      <c r="LM60" s="1"/>
      <c r="LN60" s="1"/>
      <c r="LO60" s="1"/>
      <c r="LP60" s="1"/>
      <c r="LQ60" s="1"/>
      <c r="LR60" s="1"/>
      <c r="LS60" s="1"/>
      <c r="LT60" s="1"/>
      <c r="LU60" s="1"/>
      <c r="LV60" s="1"/>
      <c r="LW60" s="1"/>
      <c r="LX60" s="1"/>
      <c r="LY60" s="1"/>
      <c r="LZ60" s="1"/>
      <c r="MA60" s="1"/>
      <c r="MB60" s="1"/>
      <c r="MC60" s="1"/>
      <c r="MD60" s="1"/>
      <c r="ME60" s="1"/>
      <c r="MF60" s="1"/>
      <c r="MG60" s="1"/>
      <c r="MH60" s="1"/>
      <c r="MI60" s="1"/>
      <c r="MJ60" s="1"/>
      <c r="MK60" s="1"/>
      <c r="ML60" s="1"/>
      <c r="MM60" s="1"/>
      <c r="MN60" s="1"/>
      <c r="MO60" s="1"/>
      <c r="MP60" s="1"/>
      <c r="MQ60" s="1"/>
      <c r="MR60" s="1"/>
      <c r="MS60" s="1"/>
      <c r="MT60" s="1"/>
      <c r="MU60" s="1"/>
      <c r="MV60" s="1"/>
      <c r="MW60" s="1"/>
      <c r="MX60" s="1"/>
      <c r="MY60" s="1"/>
      <c r="MZ60" s="1" t="s">
        <v>37</v>
      </c>
      <c r="NA60" s="1"/>
      <c r="NB60" s="1"/>
      <c r="NC60" s="1"/>
      <c r="ND60" s="1"/>
      <c r="NE60" s="1"/>
      <c r="NF60" s="1"/>
      <c r="NG60" s="1"/>
      <c r="NH60" s="1"/>
      <c r="NI60" s="1"/>
      <c r="NK60" s="18">
        <f t="array" aca="1" ref="NK60" ca="1">SUMPRODUCT((OFFSET($A60,0,1,1,372)&lt;&gt;"")*(IF(OFFSET($A60,0,1,1,372)=$NX$16,0.5,IF(OFFSET($A60,0,1,1,372)=$NX$17,0.5,1))*(OFFSET($A$3,0,1,1,372))))</f>
        <v>1</v>
      </c>
      <c r="NL60" s="23">
        <f t="shared" ca="1" si="9"/>
        <v>0</v>
      </c>
      <c r="NM60" s="23">
        <f t="shared" ca="1" si="9"/>
        <v>0</v>
      </c>
      <c r="NN60" s="23">
        <f t="shared" ca="1" si="9"/>
        <v>0</v>
      </c>
      <c r="NO60" s="23">
        <f t="shared" ca="1" si="9"/>
        <v>1</v>
      </c>
      <c r="NP60" s="23">
        <f t="shared" ca="1" si="9"/>
        <v>0</v>
      </c>
      <c r="NQ60" s="23">
        <f t="shared" ca="1" si="9"/>
        <v>0</v>
      </c>
      <c r="NR60" s="23">
        <f t="shared" ca="1" si="9"/>
        <v>0</v>
      </c>
      <c r="NS60" s="23">
        <f t="shared" ca="1" si="9"/>
        <v>0</v>
      </c>
      <c r="NT60" s="23">
        <f t="shared" ca="1" si="9"/>
        <v>0</v>
      </c>
      <c r="NU60" s="23">
        <f t="shared" ca="1" si="9"/>
        <v>0</v>
      </c>
    </row>
    <row r="61" spans="1:385" x14ac:dyDescent="0.25">
      <c r="A61" s="1" t="s">
        <v>189</v>
      </c>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c r="GF61" s="1"/>
      <c r="GG61" s="1"/>
      <c r="GH61" s="1"/>
      <c r="GI61" s="1"/>
      <c r="GJ61" s="1"/>
      <c r="GK61" s="1"/>
      <c r="GL61" s="1"/>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1"/>
      <c r="HQ61" s="1"/>
      <c r="HR61" s="1"/>
      <c r="HS61" s="1"/>
      <c r="HT61" s="1"/>
      <c r="HU61" s="1"/>
      <c r="HV61" s="1"/>
      <c r="HW61" s="1"/>
      <c r="HX61" s="1"/>
      <c r="HY61" s="1"/>
      <c r="HZ61" s="1"/>
      <c r="IA61" s="1"/>
      <c r="IB61" s="1"/>
      <c r="IC61" s="1"/>
      <c r="ID61" s="1"/>
      <c r="IE61" s="1"/>
      <c r="IF61" s="1"/>
      <c r="IG61" s="1"/>
      <c r="IH61" s="1"/>
      <c r="II61" s="1"/>
      <c r="IJ61" s="1"/>
      <c r="IK61" s="1"/>
      <c r="IL61" s="1"/>
      <c r="IM61" s="1"/>
      <c r="IN61" s="1"/>
      <c r="IO61" s="1"/>
      <c r="IP61" s="1"/>
      <c r="IQ61" s="1"/>
      <c r="IR61" s="1"/>
      <c r="IS61" s="1"/>
      <c r="IT61" s="1"/>
      <c r="IU61" s="1"/>
      <c r="IV61" s="1"/>
      <c r="IW61" s="1"/>
      <c r="IX61" s="1"/>
      <c r="IY61" s="1"/>
      <c r="IZ61" s="1"/>
      <c r="JA61" s="1"/>
      <c r="JB61" s="1"/>
      <c r="JC61" s="1"/>
      <c r="JD61" s="1"/>
      <c r="JE61" s="1"/>
      <c r="JF61" s="1"/>
      <c r="JG61" s="1"/>
      <c r="JH61" s="1"/>
      <c r="JI61" s="1"/>
      <c r="JJ61" s="1"/>
      <c r="JK61" s="1"/>
      <c r="JL61" s="1"/>
      <c r="JM61" s="1"/>
      <c r="JN61" s="1"/>
      <c r="JO61" s="1"/>
      <c r="JP61" s="1"/>
      <c r="JQ61" s="1"/>
      <c r="JR61" s="1"/>
      <c r="JS61" s="1"/>
      <c r="JT61" s="1"/>
      <c r="JU61" s="1"/>
      <c r="JV61" s="1"/>
      <c r="JW61" s="1"/>
      <c r="JX61" s="1"/>
      <c r="JY61" s="1"/>
      <c r="JZ61" s="1"/>
      <c r="KA61" s="1"/>
      <c r="KB61" s="1"/>
      <c r="KC61" s="1"/>
      <c r="KD61" s="1"/>
      <c r="KE61" s="1"/>
      <c r="KF61" s="1"/>
      <c r="KG61" s="1"/>
      <c r="KH61" s="1"/>
      <c r="KI61" s="1"/>
      <c r="KJ61" s="1"/>
      <c r="KK61" s="1"/>
      <c r="KL61" s="1"/>
      <c r="KM61" s="1"/>
      <c r="KN61" s="1"/>
      <c r="KO61" s="1"/>
      <c r="KP61" s="1"/>
      <c r="KQ61" s="1"/>
      <c r="KR61" s="1"/>
      <c r="KS61" s="1"/>
      <c r="KT61" s="1"/>
      <c r="KU61" s="1"/>
      <c r="KV61" s="1"/>
      <c r="KW61" s="1"/>
      <c r="KX61" s="1"/>
      <c r="KY61" s="1"/>
      <c r="KZ61" s="1"/>
      <c r="LA61" s="1"/>
      <c r="LB61" s="1"/>
      <c r="LC61" s="1"/>
      <c r="LD61" s="1"/>
      <c r="LE61" s="1"/>
      <c r="LF61" s="1"/>
      <c r="LG61" s="1"/>
      <c r="LH61" s="1"/>
      <c r="LI61" s="1"/>
      <c r="LJ61" s="1"/>
      <c r="LK61" s="1"/>
      <c r="LL61" s="1"/>
      <c r="LM61" s="1"/>
      <c r="LN61" s="1"/>
      <c r="LO61" s="1"/>
      <c r="LP61" s="1"/>
      <c r="LQ61" s="1"/>
      <c r="LR61" s="1"/>
      <c r="LS61" s="1"/>
      <c r="LT61" s="1"/>
      <c r="LU61" s="1"/>
      <c r="LV61" s="1"/>
      <c r="LW61" s="1"/>
      <c r="LX61" s="1"/>
      <c r="LY61" s="1"/>
      <c r="LZ61" s="1"/>
      <c r="MA61" s="1"/>
      <c r="MB61" s="1"/>
      <c r="MC61" s="1"/>
      <c r="MD61" s="1"/>
      <c r="ME61" s="1"/>
      <c r="MF61" s="1"/>
      <c r="MG61" s="1"/>
      <c r="MH61" s="1"/>
      <c r="MI61" s="1"/>
      <c r="MJ61" s="1"/>
      <c r="MK61" s="1"/>
      <c r="ML61" s="1"/>
      <c r="MM61" s="1"/>
      <c r="MN61" s="1"/>
      <c r="MO61" s="1"/>
      <c r="MP61" s="1"/>
      <c r="MQ61" s="1"/>
      <c r="MR61" s="1"/>
      <c r="MS61" s="1"/>
      <c r="MT61" s="1"/>
      <c r="MU61" s="1"/>
      <c r="MV61" s="1"/>
      <c r="MW61" s="1"/>
      <c r="MX61" s="1"/>
      <c r="MY61" s="1"/>
      <c r="MZ61" s="1" t="s">
        <v>37</v>
      </c>
      <c r="NA61" s="1"/>
      <c r="NB61" s="1"/>
      <c r="NC61" s="1"/>
      <c r="ND61" s="1"/>
      <c r="NE61" s="1"/>
      <c r="NF61" s="1"/>
      <c r="NG61" s="1"/>
      <c r="NH61" s="1"/>
      <c r="NI61" s="1"/>
      <c r="NK61" s="18">
        <f t="array" aca="1" ref="NK61" ca="1">SUMPRODUCT((OFFSET($A61,0,1,1,372)&lt;&gt;"")*(IF(OFFSET($A61,0,1,1,372)=$NX$16,0.5,IF(OFFSET($A61,0,1,1,372)=$NX$17,0.5,1))*(OFFSET($A$3,0,1,1,372))))</f>
        <v>1</v>
      </c>
      <c r="NL61" s="23">
        <f t="shared" ca="1" si="9"/>
        <v>0</v>
      </c>
      <c r="NM61" s="23">
        <f t="shared" ca="1" si="9"/>
        <v>0</v>
      </c>
      <c r="NN61" s="23">
        <f t="shared" ca="1" si="9"/>
        <v>0</v>
      </c>
      <c r="NO61" s="23">
        <f t="shared" ca="1" si="9"/>
        <v>1</v>
      </c>
      <c r="NP61" s="23">
        <f t="shared" ca="1" si="9"/>
        <v>0</v>
      </c>
      <c r="NQ61" s="23">
        <f t="shared" ref="NQ61:NU85" ca="1" si="10">SUMPRODUCT((OFFSET($A61,0,1,1,372)&lt;&gt;"")*(OFFSET($A$3,0,1,1,372))*((OFFSET($A61,0,1,1,372))=NQ$5))</f>
        <v>0</v>
      </c>
      <c r="NR61" s="23">
        <f t="shared" ca="1" si="10"/>
        <v>0</v>
      </c>
      <c r="NS61" s="23">
        <f t="shared" ca="1" si="10"/>
        <v>0</v>
      </c>
      <c r="NT61" s="23">
        <f t="shared" ca="1" si="10"/>
        <v>0</v>
      </c>
      <c r="NU61" s="23">
        <f t="shared" ca="1" si="10"/>
        <v>0</v>
      </c>
    </row>
    <row r="62" spans="1:385" x14ac:dyDescent="0.25">
      <c r="A62" s="1" t="s">
        <v>114</v>
      </c>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c r="GF62" s="1"/>
      <c r="GG62" s="1"/>
      <c r="GH62" s="1"/>
      <c r="GI62" s="1"/>
      <c r="GJ62" s="1"/>
      <c r="GK62" s="1"/>
      <c r="GL62" s="1"/>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1"/>
      <c r="HQ62" s="1"/>
      <c r="HR62" s="1"/>
      <c r="HS62" s="1"/>
      <c r="HT62" s="1"/>
      <c r="HU62" s="1"/>
      <c r="HV62" s="1"/>
      <c r="HW62" s="1"/>
      <c r="HX62" s="1"/>
      <c r="HY62" s="1"/>
      <c r="HZ62" s="1"/>
      <c r="IA62" s="1"/>
      <c r="IB62" s="1"/>
      <c r="IC62" s="1"/>
      <c r="ID62" s="1"/>
      <c r="IE62" s="1"/>
      <c r="IF62" s="1"/>
      <c r="IG62" s="1"/>
      <c r="IH62" s="1"/>
      <c r="II62" s="1"/>
      <c r="IJ62" s="1"/>
      <c r="IK62" s="1"/>
      <c r="IL62" s="1"/>
      <c r="IM62" s="1"/>
      <c r="IN62" s="1"/>
      <c r="IO62" s="1"/>
      <c r="IP62" s="1"/>
      <c r="IQ62" s="1"/>
      <c r="IR62" s="1"/>
      <c r="IS62" s="1"/>
      <c r="IT62" s="1"/>
      <c r="IU62" s="1"/>
      <c r="IV62" s="1"/>
      <c r="IW62" s="1"/>
      <c r="IX62" s="1"/>
      <c r="IY62" s="1"/>
      <c r="IZ62" s="1"/>
      <c r="JA62" s="1"/>
      <c r="JB62" s="1"/>
      <c r="JC62" s="1"/>
      <c r="JD62" s="1"/>
      <c r="JE62" s="1"/>
      <c r="JF62" s="1"/>
      <c r="JG62" s="1"/>
      <c r="JH62" s="1"/>
      <c r="JI62" s="1"/>
      <c r="JJ62" s="1"/>
      <c r="JK62" s="1"/>
      <c r="JL62" s="1"/>
      <c r="JM62" s="1"/>
      <c r="JN62" s="1"/>
      <c r="JO62" s="1"/>
      <c r="JP62" s="1"/>
      <c r="JQ62" s="1"/>
      <c r="JR62" s="1"/>
      <c r="JS62" s="1"/>
      <c r="JT62" s="1"/>
      <c r="JU62" s="1"/>
      <c r="JV62" s="1"/>
      <c r="JW62" s="1"/>
      <c r="JX62" s="1"/>
      <c r="JY62" s="1"/>
      <c r="JZ62" s="1"/>
      <c r="KA62" s="1"/>
      <c r="KB62" s="1"/>
      <c r="KC62" s="1"/>
      <c r="KD62" s="1"/>
      <c r="KE62" s="1"/>
      <c r="KF62" s="1"/>
      <c r="KG62" s="1"/>
      <c r="KH62" s="1"/>
      <c r="KI62" s="1"/>
      <c r="KJ62" s="1"/>
      <c r="KK62" s="1"/>
      <c r="KL62" s="1"/>
      <c r="KM62" s="1"/>
      <c r="KN62" s="1"/>
      <c r="KO62" s="1"/>
      <c r="KP62" s="1"/>
      <c r="KQ62" s="1"/>
      <c r="KR62" s="1"/>
      <c r="KS62" s="1"/>
      <c r="KT62" s="1"/>
      <c r="KU62" s="1"/>
      <c r="KV62" s="1"/>
      <c r="KW62" s="1"/>
      <c r="KX62" s="1"/>
      <c r="KY62" s="1"/>
      <c r="KZ62" s="1"/>
      <c r="LA62" s="1"/>
      <c r="LB62" s="1"/>
      <c r="LC62" s="1"/>
      <c r="LD62" s="1"/>
      <c r="LE62" s="1"/>
      <c r="LF62" s="1"/>
      <c r="LG62" s="1"/>
      <c r="LH62" s="1"/>
      <c r="LI62" s="1"/>
      <c r="LJ62" s="1"/>
      <c r="LK62" s="1"/>
      <c r="LL62" s="1"/>
      <c r="LM62" s="1"/>
      <c r="LN62" s="1"/>
      <c r="LO62" s="1"/>
      <c r="LP62" s="1"/>
      <c r="LQ62" s="1"/>
      <c r="LR62" s="1"/>
      <c r="LS62" s="1"/>
      <c r="LT62" s="1"/>
      <c r="LU62" s="1"/>
      <c r="LV62" s="1"/>
      <c r="LW62" s="1"/>
      <c r="LX62" s="1"/>
      <c r="LY62" s="1"/>
      <c r="LZ62" s="1"/>
      <c r="MA62" s="1"/>
      <c r="MB62" s="1"/>
      <c r="MC62" s="1"/>
      <c r="MD62" s="1"/>
      <c r="ME62" s="1"/>
      <c r="MF62" s="1"/>
      <c r="MG62" s="1"/>
      <c r="MH62" s="1"/>
      <c r="MI62" s="1"/>
      <c r="MJ62" s="1"/>
      <c r="MK62" s="1"/>
      <c r="ML62" s="1"/>
      <c r="MM62" s="1"/>
      <c r="MN62" s="1"/>
      <c r="MO62" s="1"/>
      <c r="MP62" s="1"/>
      <c r="MQ62" s="1"/>
      <c r="MR62" s="1"/>
      <c r="MS62" s="1"/>
      <c r="MT62" s="1"/>
      <c r="MU62" s="1"/>
      <c r="MV62" s="1"/>
      <c r="MW62" s="1"/>
      <c r="MX62" s="1"/>
      <c r="MY62" s="1"/>
      <c r="MZ62" s="1" t="s">
        <v>37</v>
      </c>
      <c r="NA62" s="1"/>
      <c r="NB62" s="1"/>
      <c r="NC62" s="1"/>
      <c r="ND62" s="1"/>
      <c r="NE62" s="1"/>
      <c r="NF62" s="1"/>
      <c r="NG62" s="1"/>
      <c r="NH62" s="1"/>
      <c r="NI62" s="1"/>
      <c r="NK62" s="18">
        <f t="array" aca="1" ref="NK62" ca="1">SUMPRODUCT((OFFSET($A62,0,1,1,372)&lt;&gt;"")*(IF(OFFSET($A62,0,1,1,372)=$NX$16,0.5,IF(OFFSET($A62,0,1,1,372)=$NX$17,0.5,1))*(OFFSET($A$3,0,1,1,372))))</f>
        <v>1</v>
      </c>
      <c r="NL62" s="23">
        <f t="shared" ref="NL62:NP85" ca="1" si="11">SUMPRODUCT((OFFSET($A62,0,1,1,372)&lt;&gt;"")*(OFFSET($A$3,0,1,1,372))*((OFFSET($A62,0,1,1,372))=NL$5))</f>
        <v>0</v>
      </c>
      <c r="NM62" s="23">
        <f t="shared" ca="1" si="11"/>
        <v>0</v>
      </c>
      <c r="NN62" s="23">
        <f t="shared" ca="1" si="11"/>
        <v>0</v>
      </c>
      <c r="NO62" s="23">
        <f t="shared" ca="1" si="11"/>
        <v>1</v>
      </c>
      <c r="NP62" s="23">
        <f t="shared" ca="1" si="11"/>
        <v>0</v>
      </c>
      <c r="NQ62" s="23">
        <f t="shared" ca="1" si="10"/>
        <v>0</v>
      </c>
      <c r="NR62" s="23">
        <f t="shared" ca="1" si="10"/>
        <v>0</v>
      </c>
      <c r="NS62" s="23">
        <f t="shared" ca="1" si="10"/>
        <v>0</v>
      </c>
      <c r="NT62" s="23">
        <f t="shared" ca="1" si="10"/>
        <v>0</v>
      </c>
      <c r="NU62" s="23">
        <f t="shared" ca="1" si="10"/>
        <v>0</v>
      </c>
    </row>
    <row r="63" spans="1:385" x14ac:dyDescent="0.25">
      <c r="A63" s="1" t="s">
        <v>115</v>
      </c>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c r="GF63" s="1"/>
      <c r="GG63" s="1"/>
      <c r="GH63" s="1"/>
      <c r="GI63" s="1"/>
      <c r="GJ63" s="1"/>
      <c r="GK63" s="1"/>
      <c r="GL63" s="1"/>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1"/>
      <c r="HQ63" s="1"/>
      <c r="HR63" s="1"/>
      <c r="HS63" s="1"/>
      <c r="HT63" s="1"/>
      <c r="HU63" s="1"/>
      <c r="HV63" s="1"/>
      <c r="HW63" s="1"/>
      <c r="HX63" s="1"/>
      <c r="HY63" s="1"/>
      <c r="HZ63" s="1"/>
      <c r="IA63" s="1"/>
      <c r="IB63" s="1"/>
      <c r="IC63" s="1"/>
      <c r="ID63" s="1"/>
      <c r="IE63" s="1"/>
      <c r="IF63" s="1"/>
      <c r="IG63" s="1"/>
      <c r="IH63" s="1"/>
      <c r="II63" s="1"/>
      <c r="IJ63" s="1"/>
      <c r="IK63" s="1"/>
      <c r="IL63" s="1"/>
      <c r="IM63" s="1"/>
      <c r="IN63" s="1"/>
      <c r="IO63" s="1"/>
      <c r="IP63" s="1"/>
      <c r="IQ63" s="1"/>
      <c r="IR63" s="1"/>
      <c r="IS63" s="1"/>
      <c r="IT63" s="1"/>
      <c r="IU63" s="1"/>
      <c r="IV63" s="1"/>
      <c r="IW63" s="1"/>
      <c r="IX63" s="1"/>
      <c r="IY63" s="1"/>
      <c r="IZ63" s="1"/>
      <c r="JA63" s="1"/>
      <c r="JB63" s="1"/>
      <c r="JC63" s="1"/>
      <c r="JD63" s="1"/>
      <c r="JE63" s="1"/>
      <c r="JF63" s="1"/>
      <c r="JG63" s="1"/>
      <c r="JH63" s="1"/>
      <c r="JI63" s="1"/>
      <c r="JJ63" s="1"/>
      <c r="JK63" s="1"/>
      <c r="JL63" s="1"/>
      <c r="JM63" s="1"/>
      <c r="JN63" s="1"/>
      <c r="JO63" s="1"/>
      <c r="JP63" s="1"/>
      <c r="JQ63" s="1"/>
      <c r="JR63" s="1"/>
      <c r="JS63" s="1"/>
      <c r="JT63" s="1"/>
      <c r="JU63" s="1"/>
      <c r="JV63" s="1"/>
      <c r="JW63" s="1"/>
      <c r="JX63" s="1"/>
      <c r="JY63" s="1"/>
      <c r="JZ63" s="1"/>
      <c r="KA63" s="1"/>
      <c r="KB63" s="1"/>
      <c r="KC63" s="1"/>
      <c r="KD63" s="1"/>
      <c r="KE63" s="1"/>
      <c r="KF63" s="1"/>
      <c r="KG63" s="1"/>
      <c r="KH63" s="1"/>
      <c r="KI63" s="1"/>
      <c r="KJ63" s="1"/>
      <c r="KK63" s="1"/>
      <c r="KL63" s="1"/>
      <c r="KM63" s="1"/>
      <c r="KN63" s="1"/>
      <c r="KO63" s="1"/>
      <c r="KP63" s="1"/>
      <c r="KQ63" s="1"/>
      <c r="KR63" s="1"/>
      <c r="KS63" s="1"/>
      <c r="KT63" s="1"/>
      <c r="KU63" s="1"/>
      <c r="KV63" s="1"/>
      <c r="KW63" s="1"/>
      <c r="KX63" s="1"/>
      <c r="KY63" s="1"/>
      <c r="KZ63" s="1"/>
      <c r="LA63" s="1"/>
      <c r="LB63" s="1"/>
      <c r="LC63" s="1"/>
      <c r="LD63" s="1"/>
      <c r="LE63" s="1"/>
      <c r="LF63" s="1"/>
      <c r="LG63" s="1"/>
      <c r="LH63" s="1"/>
      <c r="LI63" s="1"/>
      <c r="LJ63" s="1"/>
      <c r="LK63" s="1"/>
      <c r="LL63" s="1"/>
      <c r="LM63" s="1"/>
      <c r="LN63" s="1"/>
      <c r="LO63" s="1"/>
      <c r="LP63" s="1"/>
      <c r="LQ63" s="1"/>
      <c r="LR63" s="1"/>
      <c r="LS63" s="1"/>
      <c r="LT63" s="1"/>
      <c r="LU63" s="1"/>
      <c r="LV63" s="1"/>
      <c r="LW63" s="1"/>
      <c r="LX63" s="1"/>
      <c r="LY63" s="1"/>
      <c r="LZ63" s="1"/>
      <c r="MA63" s="1"/>
      <c r="MB63" s="1"/>
      <c r="MC63" s="1"/>
      <c r="MD63" s="1"/>
      <c r="ME63" s="1"/>
      <c r="MF63" s="1"/>
      <c r="MG63" s="1"/>
      <c r="MH63" s="1"/>
      <c r="MI63" s="1"/>
      <c r="MJ63" s="1"/>
      <c r="MK63" s="1"/>
      <c r="ML63" s="1"/>
      <c r="MM63" s="1"/>
      <c r="MN63" s="1"/>
      <c r="MO63" s="1"/>
      <c r="MP63" s="1"/>
      <c r="MQ63" s="1"/>
      <c r="MR63" s="1"/>
      <c r="MS63" s="1"/>
      <c r="MT63" s="1"/>
      <c r="MV63" s="1"/>
      <c r="MW63" s="1"/>
      <c r="MX63" s="1"/>
      <c r="MY63" s="1"/>
      <c r="MZ63" s="1" t="s">
        <v>37</v>
      </c>
      <c r="NA63" s="1"/>
      <c r="NB63" s="1"/>
      <c r="NC63" s="1"/>
      <c r="ND63" s="1"/>
      <c r="NE63" s="1"/>
      <c r="NF63" s="1"/>
      <c r="NG63" s="1"/>
      <c r="NH63" s="1"/>
      <c r="NI63" s="1"/>
      <c r="NK63" s="18">
        <f t="array" aca="1" ref="NK63" ca="1">SUMPRODUCT((OFFSET($A63,0,1,1,372)&lt;&gt;"")*(IF(OFFSET($A63,0,1,1,372)=$NX$16,0.5,IF(OFFSET($A63,0,1,1,372)=$NX$17,0.5,1))*(OFFSET($A$3,0,1,1,372))))</f>
        <v>1</v>
      </c>
      <c r="NL63" s="23">
        <f t="shared" ca="1" si="11"/>
        <v>0</v>
      </c>
      <c r="NM63" s="23">
        <f t="shared" ca="1" si="11"/>
        <v>0</v>
      </c>
      <c r="NN63" s="23">
        <f t="shared" ca="1" si="11"/>
        <v>0</v>
      </c>
      <c r="NO63" s="23">
        <f t="shared" ca="1" si="11"/>
        <v>1</v>
      </c>
      <c r="NP63" s="23">
        <f t="shared" ca="1" si="11"/>
        <v>0</v>
      </c>
      <c r="NQ63" s="23">
        <f t="shared" ca="1" si="10"/>
        <v>0</v>
      </c>
      <c r="NR63" s="23">
        <f t="shared" ca="1" si="10"/>
        <v>0</v>
      </c>
      <c r="NS63" s="23">
        <f t="shared" ca="1" si="10"/>
        <v>0</v>
      </c>
      <c r="NT63" s="23">
        <f t="shared" ca="1" si="10"/>
        <v>0</v>
      </c>
      <c r="NU63" s="23">
        <f t="shared" ca="1" si="10"/>
        <v>0</v>
      </c>
    </row>
    <row r="64" spans="1:385" x14ac:dyDescent="0.25">
      <c r="A64" s="1" t="s">
        <v>116</v>
      </c>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c r="GF64" s="1"/>
      <c r="GG64" s="1"/>
      <c r="GH64" s="1"/>
      <c r="GI64" s="1"/>
      <c r="GJ64" s="1"/>
      <c r="GK64" s="1"/>
      <c r="GL64" s="1"/>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1"/>
      <c r="HQ64" s="1"/>
      <c r="HR64" s="1"/>
      <c r="HS64" s="1"/>
      <c r="HT64" s="1"/>
      <c r="HU64" s="1"/>
      <c r="HV64" s="1"/>
      <c r="HW64" s="1"/>
      <c r="HX64" s="1"/>
      <c r="HY64" s="1"/>
      <c r="HZ64" s="1"/>
      <c r="IA64" s="1"/>
      <c r="IB64" s="1"/>
      <c r="IC64" s="1"/>
      <c r="ID64" s="1"/>
      <c r="IE64" s="1"/>
      <c r="IF64" s="1"/>
      <c r="IG64" s="1"/>
      <c r="IH64" s="1"/>
      <c r="II64" s="1"/>
      <c r="IJ64" s="1"/>
      <c r="IK64" s="1"/>
      <c r="IL64" s="1"/>
      <c r="IM64" s="1"/>
      <c r="IN64" s="1"/>
      <c r="IO64" s="1"/>
      <c r="IP64" s="1"/>
      <c r="IQ64" s="1"/>
      <c r="IR64" s="1"/>
      <c r="IS64" s="1"/>
      <c r="IT64" s="1"/>
      <c r="IU64" s="1"/>
      <c r="IV64" s="1"/>
      <c r="IW64" s="1"/>
      <c r="IX64" s="1"/>
      <c r="IY64" s="1"/>
      <c r="IZ64" s="1"/>
      <c r="JA64" s="1"/>
      <c r="JB64" s="1"/>
      <c r="JC64" s="1"/>
      <c r="JD64" s="1"/>
      <c r="JE64" s="1"/>
      <c r="JF64" s="1"/>
      <c r="JG64" s="1"/>
      <c r="JH64" s="1"/>
      <c r="JI64" s="1"/>
      <c r="JJ64" s="1"/>
      <c r="JK64" s="1"/>
      <c r="JL64" s="1"/>
      <c r="JM64" s="1"/>
      <c r="JN64" s="1"/>
      <c r="JO64" s="1"/>
      <c r="JP64" s="1"/>
      <c r="JQ64" s="1"/>
      <c r="JR64" s="1"/>
      <c r="JS64" s="1"/>
      <c r="JT64" s="1"/>
      <c r="JU64" s="1"/>
      <c r="JV64" s="1"/>
      <c r="JW64" s="1"/>
      <c r="JX64" s="1"/>
      <c r="JY64" s="1"/>
      <c r="JZ64" s="1"/>
      <c r="KA64" s="1"/>
      <c r="KB64" s="1"/>
      <c r="KC64" s="1"/>
      <c r="KD64" s="1"/>
      <c r="KE64" s="1"/>
      <c r="KF64" s="1"/>
      <c r="KG64" s="1"/>
      <c r="KH64" s="1"/>
      <c r="KI64" s="1"/>
      <c r="KJ64" s="1"/>
      <c r="KK64" s="1"/>
      <c r="KL64" s="1"/>
      <c r="KM64" s="1"/>
      <c r="KN64" s="1"/>
      <c r="KO64" s="1"/>
      <c r="KP64" s="1"/>
      <c r="KQ64" s="1"/>
      <c r="KR64" s="1"/>
      <c r="KS64" s="1"/>
      <c r="KT64" s="1"/>
      <c r="KU64" s="1"/>
      <c r="KV64" s="1"/>
      <c r="KW64" s="1"/>
      <c r="KX64" s="1"/>
      <c r="KY64" s="1"/>
      <c r="KZ64" s="1"/>
      <c r="LA64" s="1"/>
      <c r="LB64" s="1"/>
      <c r="LC64" s="1"/>
      <c r="LD64" s="1"/>
      <c r="LE64" s="1"/>
      <c r="LF64" s="1"/>
      <c r="LG64" s="1"/>
      <c r="LH64" s="1"/>
      <c r="LI64" s="1"/>
      <c r="LJ64" s="1"/>
      <c r="LK64" s="1"/>
      <c r="LL64" s="1"/>
      <c r="LM64" s="1"/>
      <c r="LN64" s="1"/>
      <c r="LO64" s="1"/>
      <c r="LP64" s="1"/>
      <c r="LQ64" s="1"/>
      <c r="LR64" s="1"/>
      <c r="LS64" s="1"/>
      <c r="LT64" s="1"/>
      <c r="LU64" s="1"/>
      <c r="LV64" s="1"/>
      <c r="LW64" s="1"/>
      <c r="LX64" s="1"/>
      <c r="LY64" s="1"/>
      <c r="LZ64" s="1"/>
      <c r="MA64" s="1"/>
      <c r="MB64" s="1"/>
      <c r="MC64" s="1"/>
      <c r="MD64" s="1"/>
      <c r="ME64" s="1"/>
      <c r="MF64" s="1"/>
      <c r="MG64" s="1"/>
      <c r="MH64" s="1"/>
      <c r="MI64" s="1"/>
      <c r="MJ64" s="1"/>
      <c r="MK64" s="1"/>
      <c r="ML64" s="1"/>
      <c r="MM64" s="1"/>
      <c r="MN64" s="1"/>
      <c r="MO64" s="1"/>
      <c r="MP64" s="1"/>
      <c r="MQ64" s="1"/>
      <c r="MR64" s="1"/>
      <c r="MS64" s="1"/>
      <c r="MT64" s="1"/>
      <c r="MU64" s="1"/>
      <c r="MV64" s="1"/>
      <c r="MW64" s="1"/>
      <c r="MX64" s="1"/>
      <c r="MY64" s="1"/>
      <c r="MZ64" s="1" t="s">
        <v>37</v>
      </c>
      <c r="NA64" s="1"/>
      <c r="NB64" s="1"/>
      <c r="NC64" s="1"/>
      <c r="ND64" s="1"/>
      <c r="NE64" s="1"/>
      <c r="NF64" s="1"/>
      <c r="NG64" s="1"/>
      <c r="NH64" s="1"/>
      <c r="NI64" s="1"/>
      <c r="NK64" s="18">
        <f t="array" aca="1" ref="NK64" ca="1">SUMPRODUCT((OFFSET($A64,0,1,1,372)&lt;&gt;"")*(IF(OFFSET($A64,0,1,1,372)=$NX$16,0.5,IF(OFFSET($A64,0,1,1,372)=$NX$17,0.5,1))*(OFFSET($A$3,0,1,1,372))))</f>
        <v>1</v>
      </c>
      <c r="NL64" s="23">
        <f t="shared" ca="1" si="11"/>
        <v>0</v>
      </c>
      <c r="NM64" s="23">
        <f t="shared" ca="1" si="11"/>
        <v>0</v>
      </c>
      <c r="NN64" s="23">
        <f t="shared" ca="1" si="11"/>
        <v>0</v>
      </c>
      <c r="NO64" s="23">
        <f t="shared" ca="1" si="11"/>
        <v>1</v>
      </c>
      <c r="NP64" s="23">
        <f t="shared" ca="1" si="11"/>
        <v>0</v>
      </c>
      <c r="NQ64" s="23">
        <f t="shared" ca="1" si="10"/>
        <v>0</v>
      </c>
      <c r="NR64" s="23">
        <f t="shared" ca="1" si="10"/>
        <v>0</v>
      </c>
      <c r="NS64" s="23">
        <f t="shared" ca="1" si="10"/>
        <v>0</v>
      </c>
      <c r="NT64" s="23">
        <f t="shared" ca="1" si="10"/>
        <v>0</v>
      </c>
      <c r="NU64" s="23">
        <f t="shared" ca="1" si="10"/>
        <v>0</v>
      </c>
    </row>
    <row r="65" spans="1:385" x14ac:dyDescent="0.25">
      <c r="A65" s="1" t="s">
        <v>117</v>
      </c>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c r="GF65" s="1"/>
      <c r="GG65" s="1"/>
      <c r="GH65" s="1"/>
      <c r="GI65" s="1"/>
      <c r="GJ65" s="1"/>
      <c r="GK65" s="1"/>
      <c r="GL65" s="1"/>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1"/>
      <c r="HQ65" s="1"/>
      <c r="HR65" s="1"/>
      <c r="HS65" s="1"/>
      <c r="HT65" s="1"/>
      <c r="HU65" s="1"/>
      <c r="HV65" s="1"/>
      <c r="HW65" s="1"/>
      <c r="HX65" s="1"/>
      <c r="HY65" s="1"/>
      <c r="HZ65" s="1"/>
      <c r="IA65" s="1"/>
      <c r="IB65" s="1"/>
      <c r="IC65" s="1"/>
      <c r="ID65" s="1"/>
      <c r="IE65" s="1"/>
      <c r="IF65" s="1"/>
      <c r="IG65" s="1"/>
      <c r="IH65" s="1"/>
      <c r="II65" s="1"/>
      <c r="IJ65" s="1"/>
      <c r="IK65" s="1"/>
      <c r="IL65" s="1"/>
      <c r="IM65" s="1"/>
      <c r="IN65" s="1"/>
      <c r="IO65" s="1"/>
      <c r="IP65" s="1"/>
      <c r="IQ65" s="1"/>
      <c r="IR65" s="1"/>
      <c r="IS65" s="1"/>
      <c r="IT65" s="1"/>
      <c r="IU65" s="1"/>
      <c r="IV65" s="1"/>
      <c r="IW65" s="1"/>
      <c r="IX65" s="1"/>
      <c r="IY65" s="1"/>
      <c r="IZ65" s="1"/>
      <c r="JA65" s="1"/>
      <c r="JB65" s="1"/>
      <c r="JC65" s="1"/>
      <c r="JD65" s="1"/>
      <c r="JE65" s="1"/>
      <c r="JF65" s="1"/>
      <c r="JG65" s="1"/>
      <c r="JH65" s="1"/>
      <c r="JI65" s="1"/>
      <c r="JJ65" s="1"/>
      <c r="JK65" s="1"/>
      <c r="JL65" s="1"/>
      <c r="JM65" s="1"/>
      <c r="JN65" s="1"/>
      <c r="JO65" s="1"/>
      <c r="JP65" s="1"/>
      <c r="JQ65" s="1"/>
      <c r="JR65" s="1"/>
      <c r="JS65" s="1"/>
      <c r="JT65" s="1"/>
      <c r="JU65" s="1"/>
      <c r="JV65" s="1"/>
      <c r="JW65" s="1"/>
      <c r="JX65" s="1"/>
      <c r="JY65" s="1"/>
      <c r="JZ65" s="1"/>
      <c r="KA65" s="1"/>
      <c r="KB65" s="1"/>
      <c r="KC65" s="1"/>
      <c r="KD65" s="1"/>
      <c r="KE65" s="1"/>
      <c r="KF65" s="1"/>
      <c r="KG65" s="1"/>
      <c r="KH65" s="1"/>
      <c r="KI65" s="1"/>
      <c r="KJ65" s="1"/>
      <c r="KK65" s="1"/>
      <c r="KL65" s="1"/>
      <c r="KM65" s="1"/>
      <c r="KN65" s="1"/>
      <c r="KO65" s="1"/>
      <c r="KP65" s="1"/>
      <c r="KQ65" s="1"/>
      <c r="KR65" s="1"/>
      <c r="KS65" s="1"/>
      <c r="KT65" s="1"/>
      <c r="KU65" s="1"/>
      <c r="KV65" s="1"/>
      <c r="KW65" s="1"/>
      <c r="KX65" s="1"/>
      <c r="KY65" s="1"/>
      <c r="KZ65" s="1"/>
      <c r="LA65" s="1"/>
      <c r="LB65" s="1"/>
      <c r="LC65" s="1"/>
      <c r="LD65" s="1"/>
      <c r="LE65" s="1"/>
      <c r="LF65" s="1"/>
      <c r="LG65" s="1"/>
      <c r="LH65" s="1"/>
      <c r="LI65" s="1"/>
      <c r="LJ65" s="1"/>
      <c r="LK65" s="1"/>
      <c r="LL65" s="1"/>
      <c r="LM65" s="1"/>
      <c r="LN65" s="1"/>
      <c r="LO65" s="1"/>
      <c r="LP65" s="1"/>
      <c r="LQ65" s="1"/>
      <c r="LR65" s="1"/>
      <c r="LS65" s="1"/>
      <c r="LT65" s="1"/>
      <c r="LU65" s="1"/>
      <c r="LV65" s="1"/>
      <c r="LW65" s="1"/>
      <c r="LX65" s="1"/>
      <c r="LY65" s="1"/>
      <c r="LZ65" s="1"/>
      <c r="MA65" s="1"/>
      <c r="MB65" s="1"/>
      <c r="MC65" s="1"/>
      <c r="MD65" s="1"/>
      <c r="ME65" s="1"/>
      <c r="MF65" s="1"/>
      <c r="MG65" s="1"/>
      <c r="MH65" s="1"/>
      <c r="MI65" s="1"/>
      <c r="MJ65" s="1"/>
      <c r="MK65" s="1"/>
      <c r="ML65" s="1"/>
      <c r="MM65" s="1"/>
      <c r="MN65" s="1"/>
      <c r="MO65" s="1"/>
      <c r="MP65" s="1"/>
      <c r="MQ65" s="1"/>
      <c r="MR65" s="1"/>
      <c r="MS65" s="1"/>
      <c r="MT65" s="1"/>
      <c r="MU65" s="1"/>
      <c r="MV65" s="1"/>
      <c r="MW65" s="1"/>
      <c r="MX65" s="1"/>
      <c r="MY65" s="1"/>
      <c r="MZ65" s="1" t="s">
        <v>37</v>
      </c>
      <c r="NA65" s="1"/>
      <c r="NB65" s="1"/>
      <c r="NC65" s="1"/>
      <c r="ND65" s="1"/>
      <c r="NE65" s="1"/>
      <c r="NF65" s="1"/>
      <c r="NG65" s="1"/>
      <c r="NH65" s="1"/>
      <c r="NI65" s="1"/>
      <c r="NK65" s="18">
        <f t="array" aca="1" ref="NK65" ca="1">SUMPRODUCT((OFFSET($A65,0,1,1,372)&lt;&gt;"")*(IF(OFFSET($A65,0,1,1,372)=$NX$16,0.5,IF(OFFSET($A65,0,1,1,372)=$NX$17,0.5,1))*(OFFSET($A$3,0,1,1,372))))</f>
        <v>1</v>
      </c>
      <c r="NL65" s="23">
        <f t="shared" ca="1" si="11"/>
        <v>0</v>
      </c>
      <c r="NM65" s="23">
        <f t="shared" ca="1" si="11"/>
        <v>0</v>
      </c>
      <c r="NN65" s="23">
        <f t="shared" ca="1" si="11"/>
        <v>0</v>
      </c>
      <c r="NO65" s="23">
        <f t="shared" ca="1" si="11"/>
        <v>1</v>
      </c>
      <c r="NP65" s="23">
        <f t="shared" ca="1" si="11"/>
        <v>0</v>
      </c>
      <c r="NQ65" s="23">
        <f t="shared" ca="1" si="10"/>
        <v>0</v>
      </c>
      <c r="NR65" s="23">
        <f t="shared" ca="1" si="10"/>
        <v>0</v>
      </c>
      <c r="NS65" s="23">
        <f t="shared" ca="1" si="10"/>
        <v>0</v>
      </c>
      <c r="NT65" s="23">
        <f t="shared" ca="1" si="10"/>
        <v>0</v>
      </c>
      <c r="NU65" s="23">
        <f t="shared" ca="1" si="10"/>
        <v>0</v>
      </c>
    </row>
    <row r="66" spans="1:385" x14ac:dyDescent="0.25">
      <c r="A66" s="1" t="s">
        <v>118</v>
      </c>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1"/>
      <c r="EU66" s="1"/>
      <c r="EV66" s="1"/>
      <c r="EW66" s="1"/>
      <c r="EX66" s="1"/>
      <c r="EY66" s="1"/>
      <c r="EZ66" s="1"/>
      <c r="FA66" s="1"/>
      <c r="FB66" s="1"/>
      <c r="FC66" s="1"/>
      <c r="FD66" s="1"/>
      <c r="FE66" s="1"/>
      <c r="FF66" s="1"/>
      <c r="FG66" s="1"/>
      <c r="FH66" s="1"/>
      <c r="FI66" s="1"/>
      <c r="FJ66" s="1"/>
      <c r="FK66" s="1"/>
      <c r="FL66" s="1"/>
      <c r="FM66" s="1"/>
      <c r="FN66" s="1"/>
      <c r="FO66" s="1"/>
      <c r="FP66" s="1"/>
      <c r="FQ66" s="1"/>
      <c r="FR66" s="1"/>
      <c r="FS66" s="1"/>
      <c r="FT66" s="1"/>
      <c r="FU66" s="1"/>
      <c r="FV66" s="1"/>
      <c r="FW66" s="1"/>
      <c r="FX66" s="1"/>
      <c r="FY66" s="1"/>
      <c r="FZ66" s="1"/>
      <c r="GA66" s="1"/>
      <c r="GB66" s="1"/>
      <c r="GC66" s="1"/>
      <c r="GD66" s="1"/>
      <c r="GE66" s="1"/>
      <c r="GF66" s="1"/>
      <c r="GG66" s="1"/>
      <c r="GH66" s="1"/>
      <c r="GI66" s="1"/>
      <c r="GJ66" s="1"/>
      <c r="GK66" s="1"/>
      <c r="GL66" s="1"/>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1"/>
      <c r="HQ66" s="1"/>
      <c r="HR66" s="1"/>
      <c r="HS66" s="1"/>
      <c r="HT66" s="1"/>
      <c r="HU66" s="1"/>
      <c r="HV66" s="1"/>
      <c r="HW66" s="1"/>
      <c r="HX66" s="1"/>
      <c r="HY66" s="1"/>
      <c r="HZ66" s="1"/>
      <c r="IA66" s="1"/>
      <c r="IB66" s="1"/>
      <c r="IC66" s="1"/>
      <c r="ID66" s="1"/>
      <c r="IE66" s="1"/>
      <c r="IF66" s="1"/>
      <c r="IG66" s="1"/>
      <c r="IH66" s="1"/>
      <c r="II66" s="1"/>
      <c r="IJ66" s="1"/>
      <c r="IK66" s="1"/>
      <c r="IL66" s="1"/>
      <c r="IM66" s="1"/>
      <c r="IN66" s="1"/>
      <c r="IO66" s="1"/>
      <c r="IP66" s="1"/>
      <c r="IQ66" s="1"/>
      <c r="IR66" s="1"/>
      <c r="IS66" s="1"/>
      <c r="IT66" s="1"/>
      <c r="IU66" s="1"/>
      <c r="IV66" s="1"/>
      <c r="IW66" s="1"/>
      <c r="IX66" s="1"/>
      <c r="IY66" s="1"/>
      <c r="IZ66" s="1"/>
      <c r="JA66" s="1"/>
      <c r="JB66" s="1"/>
      <c r="JC66" s="1"/>
      <c r="JD66" s="1"/>
      <c r="JE66" s="1"/>
      <c r="JF66" s="1"/>
      <c r="JG66" s="1"/>
      <c r="JH66" s="1"/>
      <c r="JI66" s="1"/>
      <c r="JJ66" s="1"/>
      <c r="JK66" s="1"/>
      <c r="JL66" s="1"/>
      <c r="JM66" s="1"/>
      <c r="JN66" s="1"/>
      <c r="JO66" s="1"/>
      <c r="JP66" s="1"/>
      <c r="JQ66" s="1"/>
      <c r="JR66" s="1"/>
      <c r="JS66" s="1"/>
      <c r="JT66" s="1"/>
      <c r="JU66" s="1"/>
      <c r="JV66" s="1"/>
      <c r="JW66" s="1"/>
      <c r="JX66" s="1"/>
      <c r="JY66" s="1"/>
      <c r="JZ66" s="1"/>
      <c r="KA66" s="1"/>
      <c r="KB66" s="1"/>
      <c r="KC66" s="1"/>
      <c r="KD66" s="1"/>
      <c r="KE66" s="1"/>
      <c r="KF66" s="1"/>
      <c r="KG66" s="1"/>
      <c r="KH66" s="1"/>
      <c r="KI66" s="1"/>
      <c r="KJ66" s="1"/>
      <c r="KK66" s="1"/>
      <c r="KL66" s="1"/>
      <c r="KM66" s="1"/>
      <c r="KN66" s="1"/>
      <c r="KO66" s="1"/>
      <c r="KP66" s="1"/>
      <c r="KQ66" s="1"/>
      <c r="KR66" s="1"/>
      <c r="KS66" s="1"/>
      <c r="KT66" s="1"/>
      <c r="KU66" s="1"/>
      <c r="KV66" s="1"/>
      <c r="KW66" s="1"/>
      <c r="KX66" s="1"/>
      <c r="KY66" s="1"/>
      <c r="KZ66" s="1"/>
      <c r="LA66" s="1"/>
      <c r="LB66" s="1"/>
      <c r="LC66" s="1"/>
      <c r="LD66" s="1"/>
      <c r="LE66" s="1"/>
      <c r="LF66" s="1"/>
      <c r="LG66" s="1"/>
      <c r="LH66" s="1"/>
      <c r="LI66" s="1"/>
      <c r="LJ66" s="1"/>
      <c r="LK66" s="1"/>
      <c r="LL66" s="1"/>
      <c r="LM66" s="1"/>
      <c r="LN66" s="1"/>
      <c r="LO66" s="1"/>
      <c r="LP66" s="1"/>
      <c r="LQ66" s="1"/>
      <c r="LR66" s="1"/>
      <c r="LS66" s="1"/>
      <c r="LT66" s="1"/>
      <c r="LU66" s="1"/>
      <c r="LV66" s="1"/>
      <c r="LW66" s="1"/>
      <c r="LX66" s="1"/>
      <c r="LY66" s="1"/>
      <c r="LZ66" s="1"/>
      <c r="MA66" s="1"/>
      <c r="MB66" s="1"/>
      <c r="MC66" s="1"/>
      <c r="MD66" s="1"/>
      <c r="ME66" s="1"/>
      <c r="MF66" s="1"/>
      <c r="MG66" s="1"/>
      <c r="MH66" s="1"/>
      <c r="MI66" s="1"/>
      <c r="MJ66" s="1"/>
      <c r="MK66" s="1"/>
      <c r="ML66" s="1"/>
      <c r="MM66" s="1"/>
      <c r="MN66" s="1"/>
      <c r="MO66" s="1"/>
      <c r="MP66" s="1"/>
      <c r="MQ66" s="1"/>
      <c r="MR66" s="1"/>
      <c r="MS66" s="1"/>
      <c r="MT66" s="1"/>
      <c r="MU66" s="1"/>
      <c r="MV66" s="1"/>
      <c r="MW66" s="1"/>
      <c r="MX66" s="1"/>
      <c r="MY66" s="1"/>
      <c r="MZ66" s="1" t="s">
        <v>37</v>
      </c>
      <c r="NA66" s="1"/>
      <c r="NB66" s="1"/>
      <c r="NC66" s="1"/>
      <c r="ND66" s="1"/>
      <c r="NE66" s="1"/>
      <c r="NF66" s="1"/>
      <c r="NG66" s="1"/>
      <c r="NH66" s="1"/>
      <c r="NI66" s="1"/>
      <c r="NK66" s="18">
        <f t="array" aca="1" ref="NK66" ca="1">SUMPRODUCT((OFFSET($A66,0,1,1,372)&lt;&gt;"")*(IF(OFFSET($A66,0,1,1,372)=$NX$16,0.5,IF(OFFSET($A66,0,1,1,372)=$NX$17,0.5,1))*(OFFSET($A$3,0,1,1,372))))</f>
        <v>1</v>
      </c>
      <c r="NL66" s="23">
        <f t="shared" ca="1" si="11"/>
        <v>0</v>
      </c>
      <c r="NM66" s="23">
        <f t="shared" ca="1" si="11"/>
        <v>0</v>
      </c>
      <c r="NN66" s="23">
        <f t="shared" ca="1" si="11"/>
        <v>0</v>
      </c>
      <c r="NO66" s="23">
        <f t="shared" ca="1" si="11"/>
        <v>1</v>
      </c>
      <c r="NP66" s="23">
        <f t="shared" ca="1" si="11"/>
        <v>0</v>
      </c>
      <c r="NQ66" s="23">
        <f t="shared" ca="1" si="10"/>
        <v>0</v>
      </c>
      <c r="NR66" s="23">
        <f t="shared" ca="1" si="10"/>
        <v>0</v>
      </c>
      <c r="NS66" s="23">
        <f t="shared" ca="1" si="10"/>
        <v>0</v>
      </c>
      <c r="NT66" s="23">
        <f t="shared" ca="1" si="10"/>
        <v>0</v>
      </c>
      <c r="NU66" s="23">
        <f t="shared" ca="1" si="10"/>
        <v>0</v>
      </c>
    </row>
    <row r="67" spans="1:385" x14ac:dyDescent="0.25">
      <c r="A67" s="1" t="s">
        <v>119</v>
      </c>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c r="GF67" s="1"/>
      <c r="GG67" s="1"/>
      <c r="GH67" s="1"/>
      <c r="GI67" s="1"/>
      <c r="GJ67" s="1"/>
      <c r="GK67" s="1"/>
      <c r="GL67" s="1"/>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1"/>
      <c r="HQ67" s="1"/>
      <c r="HR67" s="1"/>
      <c r="HS67" s="1"/>
      <c r="HT67" s="1"/>
      <c r="HU67" s="1"/>
      <c r="HV67" s="1"/>
      <c r="HW67" s="1"/>
      <c r="HX67" s="1"/>
      <c r="HY67" s="1"/>
      <c r="HZ67" s="1"/>
      <c r="IA67" s="1"/>
      <c r="IB67" s="1"/>
      <c r="IC67" s="1"/>
      <c r="ID67" s="1"/>
      <c r="IE67" s="1"/>
      <c r="IF67" s="1"/>
      <c r="IG67" s="1"/>
      <c r="IH67" s="1"/>
      <c r="II67" s="1"/>
      <c r="IJ67" s="1"/>
      <c r="IK67" s="1"/>
      <c r="IL67" s="1"/>
      <c r="IM67" s="1"/>
      <c r="IN67" s="1"/>
      <c r="IO67" s="1"/>
      <c r="IP67" s="1"/>
      <c r="IQ67" s="1"/>
      <c r="IR67" s="1"/>
      <c r="IS67" s="1"/>
      <c r="IT67" s="1"/>
      <c r="IU67" s="1"/>
      <c r="IV67" s="1"/>
      <c r="IW67" s="1"/>
      <c r="IX67" s="1"/>
      <c r="IY67" s="1"/>
      <c r="IZ67" s="1"/>
      <c r="JA67" s="1"/>
      <c r="JB67" s="1"/>
      <c r="JC67" s="1"/>
      <c r="JD67" s="1"/>
      <c r="JE67" s="1"/>
      <c r="JF67" s="1"/>
      <c r="JG67" s="1"/>
      <c r="JH67" s="1"/>
      <c r="JI67" s="1"/>
      <c r="JJ67" s="1"/>
      <c r="JK67" s="1"/>
      <c r="JL67" s="1"/>
      <c r="JM67" s="1"/>
      <c r="JN67" s="1"/>
      <c r="JO67" s="1"/>
      <c r="JP67" s="1"/>
      <c r="JQ67" s="1"/>
      <c r="JR67" s="1"/>
      <c r="JS67" s="1"/>
      <c r="JT67" s="1"/>
      <c r="JU67" s="1"/>
      <c r="JV67" s="1"/>
      <c r="JW67" s="1"/>
      <c r="JX67" s="1"/>
      <c r="JY67" s="1"/>
      <c r="JZ67" s="1"/>
      <c r="KA67" s="1"/>
      <c r="KB67" s="1"/>
      <c r="KC67" s="1"/>
      <c r="KD67" s="1"/>
      <c r="KE67" s="1"/>
      <c r="KF67" s="1"/>
      <c r="KG67" s="1"/>
      <c r="KH67" s="1"/>
      <c r="KI67" s="1"/>
      <c r="KJ67" s="1"/>
      <c r="KK67" s="1"/>
      <c r="KL67" s="1"/>
      <c r="KM67" s="1"/>
      <c r="KN67" s="1"/>
      <c r="KO67" s="1"/>
      <c r="KP67" s="1"/>
      <c r="KQ67" s="1"/>
      <c r="KR67" s="1"/>
      <c r="KS67" s="1"/>
      <c r="KT67" s="1"/>
      <c r="KU67" s="1"/>
      <c r="KV67" s="1"/>
      <c r="KW67" s="1"/>
      <c r="KX67" s="1"/>
      <c r="KY67" s="1"/>
      <c r="KZ67" s="1"/>
      <c r="LA67" s="1"/>
      <c r="LB67" s="1"/>
      <c r="LC67" s="1"/>
      <c r="LD67" s="1"/>
      <c r="LE67" s="1"/>
      <c r="LF67" s="1"/>
      <c r="LG67" s="1"/>
      <c r="LH67" s="1"/>
      <c r="LI67" s="1"/>
      <c r="LJ67" s="1"/>
      <c r="LK67" s="1"/>
      <c r="LL67" s="1"/>
      <c r="LM67" s="1"/>
      <c r="LN67" s="1"/>
      <c r="LO67" s="1"/>
      <c r="LP67" s="1"/>
      <c r="LQ67" s="1"/>
      <c r="LR67" s="1"/>
      <c r="LS67" s="1"/>
      <c r="LT67" s="1"/>
      <c r="LU67" s="1"/>
      <c r="LV67" s="1"/>
      <c r="LW67" s="1"/>
      <c r="LX67" s="1"/>
      <c r="LY67" s="1"/>
      <c r="LZ67" s="1"/>
      <c r="MA67" s="1"/>
      <c r="MB67" s="1"/>
      <c r="MC67" s="1"/>
      <c r="MD67" s="1"/>
      <c r="ME67" s="1"/>
      <c r="MF67" s="1"/>
      <c r="MG67" s="1"/>
      <c r="MH67" s="1"/>
      <c r="MI67" s="1"/>
      <c r="MJ67" s="1"/>
      <c r="MK67" s="1"/>
      <c r="ML67" s="1"/>
      <c r="MM67" s="1"/>
      <c r="MN67" s="1"/>
      <c r="MO67" s="1"/>
      <c r="MP67" s="1"/>
      <c r="MQ67" s="1"/>
      <c r="MR67" s="1"/>
      <c r="MS67" s="1"/>
      <c r="MT67" s="1"/>
      <c r="MU67" s="1"/>
      <c r="MV67" s="1"/>
      <c r="MW67" s="1"/>
      <c r="MX67" s="1"/>
      <c r="MY67" s="1"/>
      <c r="MZ67" s="1" t="s">
        <v>37</v>
      </c>
      <c r="NA67" s="1"/>
      <c r="NB67" s="1"/>
      <c r="NC67" s="1"/>
      <c r="ND67" s="1"/>
      <c r="NE67" s="1"/>
      <c r="NF67" s="1"/>
      <c r="NG67" s="1"/>
      <c r="NH67" s="1"/>
      <c r="NI67" s="1"/>
      <c r="NK67" s="18">
        <f t="array" aca="1" ref="NK67" ca="1">SUMPRODUCT((OFFSET($A67,0,1,1,372)&lt;&gt;"")*(IF(OFFSET($A67,0,1,1,372)=$NX$16,0.5,IF(OFFSET($A67,0,1,1,372)=$NX$17,0.5,1))*(OFFSET($A$3,0,1,1,372))))</f>
        <v>1</v>
      </c>
      <c r="NL67" s="23">
        <f t="shared" ca="1" si="11"/>
        <v>0</v>
      </c>
      <c r="NM67" s="23">
        <f t="shared" ca="1" si="11"/>
        <v>0</v>
      </c>
      <c r="NN67" s="23">
        <f t="shared" ca="1" si="11"/>
        <v>0</v>
      </c>
      <c r="NO67" s="23">
        <f t="shared" ca="1" si="11"/>
        <v>1</v>
      </c>
      <c r="NP67" s="23">
        <f t="shared" ca="1" si="11"/>
        <v>0</v>
      </c>
      <c r="NQ67" s="23">
        <f t="shared" ca="1" si="10"/>
        <v>0</v>
      </c>
      <c r="NR67" s="23">
        <f t="shared" ca="1" si="10"/>
        <v>0</v>
      </c>
      <c r="NS67" s="23">
        <f t="shared" ca="1" si="10"/>
        <v>0</v>
      </c>
      <c r="NT67" s="23">
        <f t="shared" ca="1" si="10"/>
        <v>0</v>
      </c>
      <c r="NU67" s="23">
        <f t="shared" ca="1" si="10"/>
        <v>0</v>
      </c>
    </row>
    <row r="68" spans="1:385" x14ac:dyDescent="0.25">
      <c r="A68" s="1" t="s">
        <v>120</v>
      </c>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c r="GF68" s="1"/>
      <c r="GG68" s="1"/>
      <c r="GH68" s="1"/>
      <c r="GI68" s="1"/>
      <c r="GJ68" s="1"/>
      <c r="GK68" s="1"/>
      <c r="GL68" s="1"/>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1"/>
      <c r="HQ68" s="1"/>
      <c r="HR68" s="1"/>
      <c r="HS68" s="1"/>
      <c r="HT68" s="1"/>
      <c r="HU68" s="1"/>
      <c r="HV68" s="1"/>
      <c r="HW68" s="1"/>
      <c r="HX68" s="1"/>
      <c r="HY68" s="1"/>
      <c r="HZ68" s="1"/>
      <c r="IA68" s="1"/>
      <c r="IB68" s="1"/>
      <c r="IC68" s="1"/>
      <c r="ID68" s="1"/>
      <c r="IE68" s="1"/>
      <c r="IF68" s="1"/>
      <c r="IG68" s="1"/>
      <c r="IH68" s="1"/>
      <c r="II68" s="1"/>
      <c r="IJ68" s="1"/>
      <c r="IK68" s="1"/>
      <c r="IL68" s="1"/>
      <c r="IM68" s="1"/>
      <c r="IN68" s="1"/>
      <c r="IO68" s="1"/>
      <c r="IP68" s="1"/>
      <c r="IQ68" s="1"/>
      <c r="IR68" s="1"/>
      <c r="IS68" s="1"/>
      <c r="IT68" s="1"/>
      <c r="IU68" s="1"/>
      <c r="IV68" s="1"/>
      <c r="IW68" s="1"/>
      <c r="IX68" s="1"/>
      <c r="IY68" s="1"/>
      <c r="IZ68" s="1"/>
      <c r="JA68" s="1"/>
      <c r="JB68" s="1"/>
      <c r="JC68" s="1"/>
      <c r="JD68" s="1"/>
      <c r="JE68" s="1"/>
      <c r="JF68" s="1"/>
      <c r="JG68" s="1"/>
      <c r="JH68" s="1"/>
      <c r="JI68" s="1"/>
      <c r="JJ68" s="1"/>
      <c r="JK68" s="1"/>
      <c r="JL68" s="1"/>
      <c r="JM68" s="1"/>
      <c r="JN68" s="1"/>
      <c r="JO68" s="1"/>
      <c r="JP68" s="1"/>
      <c r="JQ68" s="1"/>
      <c r="JR68" s="1"/>
      <c r="JS68" s="1"/>
      <c r="JT68" s="1"/>
      <c r="JU68" s="1"/>
      <c r="JV68" s="1"/>
      <c r="JW68" s="1"/>
      <c r="JX68" s="1"/>
      <c r="JY68" s="1"/>
      <c r="JZ68" s="1"/>
      <c r="KA68" s="1"/>
      <c r="KB68" s="1"/>
      <c r="KC68" s="1"/>
      <c r="KD68" s="1"/>
      <c r="KE68" s="1"/>
      <c r="KF68" s="1"/>
      <c r="KG68" s="1"/>
      <c r="KH68" s="1"/>
      <c r="KI68" s="1"/>
      <c r="KJ68" s="1"/>
      <c r="KK68" s="1"/>
      <c r="KL68" s="1"/>
      <c r="KM68" s="1"/>
      <c r="KN68" s="1"/>
      <c r="KO68" s="1"/>
      <c r="KP68" s="1"/>
      <c r="KQ68" s="1"/>
      <c r="KR68" s="1"/>
      <c r="KS68" s="1"/>
      <c r="KT68" s="1"/>
      <c r="KU68" s="1"/>
      <c r="KV68" s="1"/>
      <c r="KW68" s="1"/>
      <c r="KX68" s="1"/>
      <c r="KY68" s="1"/>
      <c r="KZ68" s="1"/>
      <c r="LA68" s="1"/>
      <c r="LB68" s="1"/>
      <c r="LC68" s="1"/>
      <c r="LD68" s="1"/>
      <c r="LE68" s="1"/>
      <c r="LF68" s="1"/>
      <c r="LG68" s="1"/>
      <c r="LH68" s="1"/>
      <c r="LI68" s="1"/>
      <c r="LJ68" s="1"/>
      <c r="LK68" s="1"/>
      <c r="LL68" s="1"/>
      <c r="LM68" s="1"/>
      <c r="LN68" s="1"/>
      <c r="LO68" s="1"/>
      <c r="LP68" s="1"/>
      <c r="LQ68" s="1"/>
      <c r="LR68" s="1"/>
      <c r="LS68" s="1"/>
      <c r="LT68" s="1"/>
      <c r="LU68" s="1"/>
      <c r="LV68" s="1"/>
      <c r="LW68" s="1"/>
      <c r="LX68" s="1"/>
      <c r="LY68" s="1"/>
      <c r="LZ68" s="1"/>
      <c r="MA68" s="1"/>
      <c r="MB68" s="1"/>
      <c r="MC68" s="1"/>
      <c r="MD68" s="1"/>
      <c r="ME68" s="1"/>
      <c r="MF68" s="1"/>
      <c r="MG68" s="1"/>
      <c r="MH68" s="1"/>
      <c r="MI68" s="1"/>
      <c r="MJ68" s="1"/>
      <c r="MK68" s="1"/>
      <c r="ML68" s="1"/>
      <c r="MM68" s="1"/>
      <c r="MN68" s="1"/>
      <c r="MO68" s="1"/>
      <c r="MP68" s="1"/>
      <c r="MQ68" s="1"/>
      <c r="MR68" s="1"/>
      <c r="MS68" s="1"/>
      <c r="MT68" s="1"/>
      <c r="MU68" s="1"/>
      <c r="MV68" s="1"/>
      <c r="MW68" s="1"/>
      <c r="MX68" s="1"/>
      <c r="MY68" s="1"/>
      <c r="MZ68" s="1" t="s">
        <v>37</v>
      </c>
      <c r="NA68" s="1"/>
      <c r="NB68" s="1"/>
      <c r="NC68" s="1"/>
      <c r="ND68" s="1"/>
      <c r="NE68" s="1"/>
      <c r="NF68" s="1"/>
      <c r="NG68" s="1"/>
      <c r="NH68" s="1"/>
      <c r="NI68" s="1"/>
      <c r="NK68" s="18">
        <f t="array" aca="1" ref="NK68" ca="1">SUMPRODUCT((OFFSET($A68,0,1,1,372)&lt;&gt;"")*(IF(OFFSET($A68,0,1,1,372)=$NX$16,0.5,IF(OFFSET($A68,0,1,1,372)=$NX$17,0.5,1))*(OFFSET($A$3,0,1,1,372))))</f>
        <v>1</v>
      </c>
      <c r="NL68" s="23">
        <f t="shared" ca="1" si="11"/>
        <v>0</v>
      </c>
      <c r="NM68" s="23">
        <f t="shared" ca="1" si="11"/>
        <v>0</v>
      </c>
      <c r="NN68" s="23">
        <f t="shared" ca="1" si="11"/>
        <v>0</v>
      </c>
      <c r="NO68" s="23">
        <f t="shared" ca="1" si="11"/>
        <v>1</v>
      </c>
      <c r="NP68" s="23">
        <f t="shared" ca="1" si="11"/>
        <v>0</v>
      </c>
      <c r="NQ68" s="23">
        <f t="shared" ca="1" si="10"/>
        <v>0</v>
      </c>
      <c r="NR68" s="23">
        <f t="shared" ca="1" si="10"/>
        <v>0</v>
      </c>
      <c r="NS68" s="23">
        <f t="shared" ca="1" si="10"/>
        <v>0</v>
      </c>
      <c r="NT68" s="23">
        <f t="shared" ca="1" si="10"/>
        <v>0</v>
      </c>
      <c r="NU68" s="23">
        <f t="shared" ca="1" si="10"/>
        <v>0</v>
      </c>
    </row>
    <row r="69" spans="1:385" x14ac:dyDescent="0.25">
      <c r="A69" s="1" t="s">
        <v>121</v>
      </c>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c r="GF69" s="1"/>
      <c r="GG69" s="1"/>
      <c r="GH69" s="1"/>
      <c r="GI69" s="1"/>
      <c r="GJ69" s="1"/>
      <c r="GK69" s="1"/>
      <c r="GL69" s="1"/>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1"/>
      <c r="HQ69" s="1"/>
      <c r="HR69" s="1"/>
      <c r="HS69" s="1"/>
      <c r="HT69" s="1"/>
      <c r="HU69" s="1"/>
      <c r="HV69" s="1"/>
      <c r="HW69" s="1"/>
      <c r="HX69" s="1"/>
      <c r="HY69" s="1"/>
      <c r="HZ69" s="1"/>
      <c r="IA69" s="1"/>
      <c r="IB69" s="1"/>
      <c r="IC69" s="1"/>
      <c r="ID69" s="1"/>
      <c r="IE69" s="1"/>
      <c r="IF69" s="1"/>
      <c r="IG69" s="1"/>
      <c r="IH69" s="1"/>
      <c r="II69" s="1"/>
      <c r="IJ69" s="1"/>
      <c r="IK69" s="1"/>
      <c r="IL69" s="1"/>
      <c r="IM69" s="1"/>
      <c r="IN69" s="1"/>
      <c r="IO69" s="1"/>
      <c r="IP69" s="1"/>
      <c r="IQ69" s="1"/>
      <c r="IR69" s="1"/>
      <c r="IS69" s="1"/>
      <c r="IT69" s="1"/>
      <c r="IU69" s="1"/>
      <c r="IV69" s="1"/>
      <c r="IW69" s="1"/>
      <c r="IX69" s="1"/>
      <c r="IY69" s="1"/>
      <c r="IZ69" s="1"/>
      <c r="JA69" s="1"/>
      <c r="JB69" s="1"/>
      <c r="JC69" s="1"/>
      <c r="JD69" s="1"/>
      <c r="JE69" s="1"/>
      <c r="JF69" s="1"/>
      <c r="JG69" s="1"/>
      <c r="JH69" s="1"/>
      <c r="JI69" s="1"/>
      <c r="JJ69" s="1"/>
      <c r="JK69" s="1"/>
      <c r="JL69" s="1"/>
      <c r="JM69" s="1"/>
      <c r="JN69" s="1"/>
      <c r="JO69" s="1"/>
      <c r="JP69" s="1"/>
      <c r="JQ69" s="1"/>
      <c r="JR69" s="1"/>
      <c r="JS69" s="1"/>
      <c r="JT69" s="1"/>
      <c r="JU69" s="1"/>
      <c r="JV69" s="1"/>
      <c r="JW69" s="1"/>
      <c r="JX69" s="1"/>
      <c r="JY69" s="1"/>
      <c r="JZ69" s="1"/>
      <c r="KA69" s="1"/>
      <c r="KB69" s="1"/>
      <c r="KC69" s="1"/>
      <c r="KD69" s="1"/>
      <c r="KE69" s="1"/>
      <c r="KF69" s="1"/>
      <c r="KG69" s="1"/>
      <c r="KH69" s="1"/>
      <c r="KI69" s="1"/>
      <c r="KJ69" s="1"/>
      <c r="KK69" s="1"/>
      <c r="KL69" s="1"/>
      <c r="KM69" s="1"/>
      <c r="KN69" s="1"/>
      <c r="KO69" s="1"/>
      <c r="KP69" s="1"/>
      <c r="KQ69" s="1"/>
      <c r="KR69" s="1"/>
      <c r="KS69" s="1"/>
      <c r="KT69" s="1"/>
      <c r="KU69" s="1"/>
      <c r="KV69" s="1"/>
      <c r="KW69" s="1"/>
      <c r="KX69" s="1"/>
      <c r="KY69" s="1"/>
      <c r="KZ69" s="1"/>
      <c r="LA69" s="1"/>
      <c r="LB69" s="1"/>
      <c r="LC69" s="1"/>
      <c r="LD69" s="1"/>
      <c r="LE69" s="1"/>
      <c r="LF69" s="1"/>
      <c r="LG69" s="1"/>
      <c r="LH69" s="1"/>
      <c r="LI69" s="1"/>
      <c r="LJ69" s="1"/>
      <c r="LK69" s="1"/>
      <c r="LL69" s="1"/>
      <c r="LM69" s="1"/>
      <c r="LN69" s="1"/>
      <c r="LO69" s="1"/>
      <c r="LP69" s="1"/>
      <c r="LQ69" s="1"/>
      <c r="LR69" s="1"/>
      <c r="LS69" s="1"/>
      <c r="LT69" s="1"/>
      <c r="LU69" s="1"/>
      <c r="LV69" s="1"/>
      <c r="LW69" s="1"/>
      <c r="LX69" s="1"/>
      <c r="LY69" s="1"/>
      <c r="LZ69" s="1"/>
      <c r="MA69" s="1"/>
      <c r="MB69" s="1"/>
      <c r="MC69" s="1"/>
      <c r="MD69" s="1"/>
      <c r="ME69" s="1"/>
      <c r="MF69" s="1"/>
      <c r="MG69" s="1"/>
      <c r="MH69" s="1"/>
      <c r="MI69" s="1"/>
      <c r="MJ69" s="1"/>
      <c r="MK69" s="1"/>
      <c r="ML69" s="1"/>
      <c r="MM69" s="1"/>
      <c r="MN69" s="1"/>
      <c r="MO69" s="1"/>
      <c r="MP69" s="1"/>
      <c r="MQ69" s="1"/>
      <c r="MR69" s="1"/>
      <c r="MS69" s="1"/>
      <c r="MT69" s="1"/>
      <c r="MU69" s="1"/>
      <c r="MV69" s="1"/>
      <c r="MW69" s="1"/>
      <c r="MX69" s="1"/>
      <c r="MY69" s="1"/>
      <c r="MZ69" s="1" t="s">
        <v>37</v>
      </c>
      <c r="NA69" s="1"/>
      <c r="NB69" s="1"/>
      <c r="NC69" s="1"/>
      <c r="ND69" s="1"/>
      <c r="NE69" s="1"/>
      <c r="NF69" s="1"/>
      <c r="NG69" s="1"/>
      <c r="NH69" s="1"/>
      <c r="NI69" s="1"/>
      <c r="NK69" s="18">
        <f t="array" aca="1" ref="NK69" ca="1">SUMPRODUCT((OFFSET($A69,0,1,1,372)&lt;&gt;"")*(IF(OFFSET($A69,0,1,1,372)=$NX$16,0.5,IF(OFFSET($A69,0,1,1,372)=$NX$17,0.5,1))*(OFFSET($A$3,0,1,1,372))))</f>
        <v>1</v>
      </c>
      <c r="NL69" s="23">
        <f t="shared" ca="1" si="11"/>
        <v>0</v>
      </c>
      <c r="NM69" s="23">
        <f t="shared" ca="1" si="11"/>
        <v>0</v>
      </c>
      <c r="NN69" s="23">
        <f t="shared" ca="1" si="11"/>
        <v>0</v>
      </c>
      <c r="NO69" s="23">
        <f t="shared" ca="1" si="11"/>
        <v>1</v>
      </c>
      <c r="NP69" s="23">
        <f t="shared" ca="1" si="11"/>
        <v>0</v>
      </c>
      <c r="NQ69" s="23">
        <f t="shared" ca="1" si="10"/>
        <v>0</v>
      </c>
      <c r="NR69" s="23">
        <f t="shared" ca="1" si="10"/>
        <v>0</v>
      </c>
      <c r="NS69" s="23">
        <f t="shared" ca="1" si="10"/>
        <v>0</v>
      </c>
      <c r="NT69" s="23">
        <f t="shared" ca="1" si="10"/>
        <v>0</v>
      </c>
      <c r="NU69" s="23">
        <f t="shared" ca="1" si="10"/>
        <v>0</v>
      </c>
    </row>
    <row r="70" spans="1:385" x14ac:dyDescent="0.25">
      <c r="A70" s="1" t="s">
        <v>122</v>
      </c>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c r="GF70" s="1"/>
      <c r="GG70" s="1"/>
      <c r="GH70" s="1"/>
      <c r="GI70" s="1"/>
      <c r="GJ70" s="1"/>
      <c r="GK70" s="1"/>
      <c r="GL70" s="1"/>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1"/>
      <c r="HQ70" s="1"/>
      <c r="HR70" s="1"/>
      <c r="HS70" s="1"/>
      <c r="HT70" s="1"/>
      <c r="HU70" s="1"/>
      <c r="HV70" s="1"/>
      <c r="HW70" s="1"/>
      <c r="HX70" s="1"/>
      <c r="HY70" s="1"/>
      <c r="HZ70" s="1"/>
      <c r="IA70" s="1"/>
      <c r="IB70" s="1"/>
      <c r="IC70" s="1"/>
      <c r="ID70" s="1"/>
      <c r="IE70" s="1"/>
      <c r="IF70" s="1"/>
      <c r="IG70" s="1"/>
      <c r="IH70" s="1"/>
      <c r="II70" s="1"/>
      <c r="IJ70" s="1"/>
      <c r="IK70" s="1"/>
      <c r="IL70" s="1"/>
      <c r="IM70" s="1"/>
      <c r="IN70" s="1"/>
      <c r="IO70" s="1"/>
      <c r="IP70" s="1"/>
      <c r="IQ70" s="1"/>
      <c r="IR70" s="1"/>
      <c r="IS70" s="1"/>
      <c r="IT70" s="1"/>
      <c r="IU70" s="1"/>
      <c r="IV70" s="1"/>
      <c r="IW70" s="1"/>
      <c r="IX70" s="1"/>
      <c r="IY70" s="1"/>
      <c r="IZ70" s="1"/>
      <c r="JA70" s="1"/>
      <c r="JB70" s="1"/>
      <c r="JC70" s="1"/>
      <c r="JD70" s="1"/>
      <c r="JE70" s="1"/>
      <c r="JF70" s="1"/>
      <c r="JG70" s="1"/>
      <c r="JH70" s="1"/>
      <c r="JI70" s="1"/>
      <c r="JJ70" s="1"/>
      <c r="JK70" s="1"/>
      <c r="JL70" s="1"/>
      <c r="JM70" s="1"/>
      <c r="JN70" s="1"/>
      <c r="JO70" s="1"/>
      <c r="JP70" s="1"/>
      <c r="JQ70" s="1"/>
      <c r="JR70" s="1"/>
      <c r="JS70" s="1"/>
      <c r="JT70" s="1"/>
      <c r="JU70" s="1"/>
      <c r="JV70" s="1"/>
      <c r="JW70" s="1"/>
      <c r="JX70" s="1"/>
      <c r="JY70" s="1"/>
      <c r="JZ70" s="1"/>
      <c r="KA70" s="1"/>
      <c r="KB70" s="1"/>
      <c r="KC70" s="1"/>
      <c r="KD70" s="1"/>
      <c r="KE70" s="1"/>
      <c r="KF70" s="1"/>
      <c r="KG70" s="1"/>
      <c r="KH70" s="1"/>
      <c r="KI70" s="1"/>
      <c r="KJ70" s="1"/>
      <c r="KK70" s="1"/>
      <c r="KL70" s="1"/>
      <c r="KM70" s="1"/>
      <c r="KN70" s="1"/>
      <c r="KO70" s="1"/>
      <c r="KP70" s="1"/>
      <c r="KQ70" s="1"/>
      <c r="KR70" s="1"/>
      <c r="KS70" s="1"/>
      <c r="KT70" s="1"/>
      <c r="KU70" s="1"/>
      <c r="KV70" s="1"/>
      <c r="KW70" s="1"/>
      <c r="KX70" s="1"/>
      <c r="KY70" s="1"/>
      <c r="KZ70" s="1"/>
      <c r="LA70" s="1"/>
      <c r="LB70" s="1"/>
      <c r="LC70" s="1"/>
      <c r="LD70" s="1"/>
      <c r="LE70" s="1"/>
      <c r="LF70" s="1"/>
      <c r="LG70" s="1"/>
      <c r="LH70" s="1"/>
      <c r="LI70" s="1"/>
      <c r="LJ70" s="1"/>
      <c r="LK70" s="1"/>
      <c r="LL70" s="1"/>
      <c r="LM70" s="1"/>
      <c r="LN70" s="1"/>
      <c r="LO70" s="1"/>
      <c r="LP70" s="1"/>
      <c r="LQ70" s="1"/>
      <c r="LR70" s="1"/>
      <c r="LS70" s="1"/>
      <c r="LT70" s="1"/>
      <c r="LU70" s="1"/>
      <c r="LV70" s="1"/>
      <c r="LW70" s="1"/>
      <c r="LX70" s="1"/>
      <c r="LY70" s="1"/>
      <c r="LZ70" s="1"/>
      <c r="MA70" s="1"/>
      <c r="MB70" s="1"/>
      <c r="MC70" s="1"/>
      <c r="MD70" s="1"/>
      <c r="ME70" s="1"/>
      <c r="MF70" s="1"/>
      <c r="MG70" s="1"/>
      <c r="MH70" s="1"/>
      <c r="MI70" s="1"/>
      <c r="MJ70" s="1"/>
      <c r="MK70" s="1"/>
      <c r="ML70" s="1"/>
      <c r="MM70" s="1"/>
      <c r="MN70" s="1"/>
      <c r="MO70" s="1"/>
      <c r="MP70" s="1"/>
      <c r="MQ70" s="1"/>
      <c r="MR70" s="1"/>
      <c r="MS70" s="1"/>
      <c r="MT70" s="1"/>
      <c r="MU70" s="1"/>
      <c r="MV70" s="1"/>
      <c r="MW70" s="1"/>
      <c r="MX70" s="1"/>
      <c r="MY70" s="1"/>
      <c r="MZ70" s="1" t="s">
        <v>37</v>
      </c>
      <c r="NA70" s="1"/>
      <c r="NB70" s="1"/>
      <c r="NC70" s="1"/>
      <c r="ND70" s="1"/>
      <c r="NE70" s="1"/>
      <c r="NF70" s="1"/>
      <c r="NG70" s="1"/>
      <c r="NH70" s="1"/>
      <c r="NI70" s="1"/>
      <c r="NK70" s="18">
        <f t="array" aca="1" ref="NK70" ca="1">SUMPRODUCT((OFFSET($A70,0,1,1,372)&lt;&gt;"")*(IF(OFFSET($A70,0,1,1,372)=$NX$16,0.5,IF(OFFSET($A70,0,1,1,372)=$NX$17,0.5,1))*(OFFSET($A$3,0,1,1,372))))</f>
        <v>1</v>
      </c>
      <c r="NL70" s="23">
        <f t="shared" ca="1" si="11"/>
        <v>0</v>
      </c>
      <c r="NM70" s="23">
        <f t="shared" ca="1" si="11"/>
        <v>0</v>
      </c>
      <c r="NN70" s="23">
        <f t="shared" ca="1" si="11"/>
        <v>0</v>
      </c>
      <c r="NO70" s="23">
        <f t="shared" ca="1" si="11"/>
        <v>1</v>
      </c>
      <c r="NP70" s="23">
        <f t="shared" ca="1" si="11"/>
        <v>0</v>
      </c>
      <c r="NQ70" s="23">
        <f t="shared" ca="1" si="10"/>
        <v>0</v>
      </c>
      <c r="NR70" s="23">
        <f t="shared" ca="1" si="10"/>
        <v>0</v>
      </c>
      <c r="NS70" s="23">
        <f t="shared" ca="1" si="10"/>
        <v>0</v>
      </c>
      <c r="NT70" s="23">
        <f t="shared" ca="1" si="10"/>
        <v>0</v>
      </c>
      <c r="NU70" s="23">
        <f t="shared" ca="1" si="10"/>
        <v>0</v>
      </c>
    </row>
    <row r="71" spans="1:385" x14ac:dyDescent="0.25">
      <c r="A71" s="1" t="s">
        <v>123</v>
      </c>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c r="GF71" s="1"/>
      <c r="GG71" s="1"/>
      <c r="GH71" s="1"/>
      <c r="GI71" s="1"/>
      <c r="GJ71" s="1"/>
      <c r="GK71" s="1"/>
      <c r="GL71" s="1"/>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1"/>
      <c r="HQ71" s="1"/>
      <c r="HR71" s="1"/>
      <c r="HS71" s="1"/>
      <c r="HT71" s="1"/>
      <c r="HU71" s="1"/>
      <c r="HV71" s="1"/>
      <c r="HW71" s="1"/>
      <c r="HX71" s="1"/>
      <c r="HY71" s="1"/>
      <c r="HZ71" s="1"/>
      <c r="IA71" s="1"/>
      <c r="IB71" s="1"/>
      <c r="IC71" s="1"/>
      <c r="ID71" s="1"/>
      <c r="IE71" s="1"/>
      <c r="IF71" s="1"/>
      <c r="IG71" s="1"/>
      <c r="IH71" s="1"/>
      <c r="II71" s="1"/>
      <c r="IJ71" s="1"/>
      <c r="IK71" s="1"/>
      <c r="IL71" s="1"/>
      <c r="IM71" s="1"/>
      <c r="IN71" s="1"/>
      <c r="IO71" s="1"/>
      <c r="IP71" s="1"/>
      <c r="IQ71" s="1"/>
      <c r="IR71" s="1"/>
      <c r="IS71" s="1"/>
      <c r="IT71" s="1"/>
      <c r="IU71" s="1"/>
      <c r="IV71" s="1"/>
      <c r="IW71" s="1"/>
      <c r="IX71" s="1"/>
      <c r="IY71" s="1"/>
      <c r="IZ71" s="1"/>
      <c r="JA71" s="1"/>
      <c r="JB71" s="1"/>
      <c r="JC71" s="1"/>
      <c r="JD71" s="1"/>
      <c r="JE71" s="1"/>
      <c r="JF71" s="1"/>
      <c r="JG71" s="1"/>
      <c r="JH71" s="1"/>
      <c r="JI71" s="1"/>
      <c r="JJ71" s="1"/>
      <c r="JK71" s="1"/>
      <c r="JL71" s="1"/>
      <c r="JM71" s="1"/>
      <c r="JN71" s="1"/>
      <c r="JO71" s="1"/>
      <c r="JP71" s="1"/>
      <c r="JQ71" s="1"/>
      <c r="JR71" s="1"/>
      <c r="JS71" s="1"/>
      <c r="JT71" s="1"/>
      <c r="JU71" s="1"/>
      <c r="JV71" s="1"/>
      <c r="JW71" s="1"/>
      <c r="JX71" s="1"/>
      <c r="JY71" s="1"/>
      <c r="JZ71" s="1"/>
      <c r="KA71" s="1"/>
      <c r="KB71" s="1"/>
      <c r="KC71" s="1"/>
      <c r="KD71" s="1"/>
      <c r="KE71" s="1"/>
      <c r="KF71" s="1"/>
      <c r="KG71" s="1"/>
      <c r="KH71" s="1"/>
      <c r="KI71" s="1"/>
      <c r="KJ71" s="1"/>
      <c r="KK71" s="1"/>
      <c r="KL71" s="1"/>
      <c r="KM71" s="1"/>
      <c r="KN71" s="1"/>
      <c r="KO71" s="1"/>
      <c r="KP71" s="1"/>
      <c r="KQ71" s="1"/>
      <c r="KR71" s="1"/>
      <c r="KS71" s="1"/>
      <c r="KT71" s="1"/>
      <c r="KU71" s="1"/>
      <c r="KV71" s="1"/>
      <c r="KW71" s="1"/>
      <c r="KX71" s="1"/>
      <c r="KY71" s="1"/>
      <c r="KZ71" s="1"/>
      <c r="LA71" s="1"/>
      <c r="LB71" s="1"/>
      <c r="LC71" s="1"/>
      <c r="LD71" s="1"/>
      <c r="LE71" s="1"/>
      <c r="LF71" s="1"/>
      <c r="LG71" s="1"/>
      <c r="LH71" s="1"/>
      <c r="LI71" s="1"/>
      <c r="LJ71" s="1"/>
      <c r="LK71" s="1"/>
      <c r="LL71" s="1"/>
      <c r="LM71" s="1"/>
      <c r="LN71" s="1"/>
      <c r="LO71" s="1"/>
      <c r="LP71" s="1"/>
      <c r="LQ71" s="1"/>
      <c r="LR71" s="1"/>
      <c r="LS71" s="1"/>
      <c r="LT71" s="1"/>
      <c r="LU71" s="1"/>
      <c r="LV71" s="1"/>
      <c r="LW71" s="1"/>
      <c r="LX71" s="1"/>
      <c r="LY71" s="1"/>
      <c r="LZ71" s="1"/>
      <c r="MA71" s="1"/>
      <c r="MB71" s="1"/>
      <c r="MC71" s="1"/>
      <c r="MD71" s="1"/>
      <c r="ME71" s="1"/>
      <c r="MF71" s="1"/>
      <c r="MG71" s="1"/>
      <c r="MH71" s="1"/>
      <c r="MI71" s="1"/>
      <c r="MJ71" s="1"/>
      <c r="MK71" s="1"/>
      <c r="ML71" s="1"/>
      <c r="MM71" s="1"/>
      <c r="MN71" s="1"/>
      <c r="MO71" s="1"/>
      <c r="MP71" s="1"/>
      <c r="MQ71" s="1"/>
      <c r="MR71" s="1"/>
      <c r="MS71" s="1"/>
      <c r="MT71" s="1"/>
      <c r="MU71" s="1"/>
      <c r="MV71" s="1"/>
      <c r="MW71" s="1"/>
      <c r="MX71" s="1"/>
      <c r="MY71" s="1"/>
      <c r="MZ71" s="1" t="s">
        <v>37</v>
      </c>
      <c r="NA71" s="1"/>
      <c r="NB71" s="1"/>
      <c r="NC71" s="1"/>
      <c r="ND71" s="1"/>
      <c r="NE71" s="1"/>
      <c r="NF71" s="1"/>
      <c r="NG71" s="1"/>
      <c r="NH71" s="1"/>
      <c r="NI71" s="1"/>
      <c r="NK71" s="18">
        <f t="array" aca="1" ref="NK71" ca="1">SUMPRODUCT((OFFSET($A71,0,1,1,372)&lt;&gt;"")*(IF(OFFSET($A71,0,1,1,372)=$NX$16,0.5,IF(OFFSET($A71,0,1,1,372)=$NX$17,0.5,1))*(OFFSET($A$3,0,1,1,372))))</f>
        <v>1</v>
      </c>
      <c r="NL71" s="23">
        <f t="shared" ca="1" si="11"/>
        <v>0</v>
      </c>
      <c r="NM71" s="23">
        <f t="shared" ca="1" si="11"/>
        <v>0</v>
      </c>
      <c r="NN71" s="23">
        <f t="shared" ca="1" si="11"/>
        <v>0</v>
      </c>
      <c r="NO71" s="23">
        <f t="shared" ca="1" si="11"/>
        <v>1</v>
      </c>
      <c r="NP71" s="23">
        <f t="shared" ca="1" si="11"/>
        <v>0</v>
      </c>
      <c r="NQ71" s="23">
        <f t="shared" ca="1" si="10"/>
        <v>0</v>
      </c>
      <c r="NR71" s="23">
        <f t="shared" ca="1" si="10"/>
        <v>0</v>
      </c>
      <c r="NS71" s="23">
        <f t="shared" ca="1" si="10"/>
        <v>0</v>
      </c>
      <c r="NT71" s="23">
        <f t="shared" ca="1" si="10"/>
        <v>0</v>
      </c>
      <c r="NU71" s="23">
        <f t="shared" ca="1" si="10"/>
        <v>0</v>
      </c>
    </row>
    <row r="72" spans="1:385" x14ac:dyDescent="0.25">
      <c r="A72" s="1" t="s">
        <v>124</v>
      </c>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c r="GF72" s="1"/>
      <c r="GG72" s="1"/>
      <c r="GH72" s="1"/>
      <c r="GI72" s="1"/>
      <c r="GJ72" s="1"/>
      <c r="GK72" s="1"/>
      <c r="GL72" s="1"/>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1"/>
      <c r="HQ72" s="1"/>
      <c r="HR72" s="1"/>
      <c r="HS72" s="1"/>
      <c r="HT72" s="1"/>
      <c r="HU72" s="1"/>
      <c r="HV72" s="1"/>
      <c r="HW72" s="1"/>
      <c r="HX72" s="1"/>
      <c r="HY72" s="1"/>
      <c r="HZ72" s="1"/>
      <c r="IA72" s="1"/>
      <c r="IB72" s="1"/>
      <c r="IC72" s="1"/>
      <c r="ID72" s="1"/>
      <c r="IE72" s="1"/>
      <c r="IF72" s="1"/>
      <c r="IG72" s="1"/>
      <c r="IH72" s="1"/>
      <c r="II72" s="1"/>
      <c r="IJ72" s="1"/>
      <c r="IK72" s="1"/>
      <c r="IL72" s="1"/>
      <c r="IM72" s="1"/>
      <c r="IN72" s="1"/>
      <c r="IO72" s="1"/>
      <c r="IP72" s="1"/>
      <c r="IQ72" s="1"/>
      <c r="IR72" s="1"/>
      <c r="IS72" s="1"/>
      <c r="IT72" s="1"/>
      <c r="IU72" s="1"/>
      <c r="IV72" s="1"/>
      <c r="IW72" s="1"/>
      <c r="IX72" s="1"/>
      <c r="IY72" s="1"/>
      <c r="IZ72" s="1"/>
      <c r="JA72" s="1"/>
      <c r="JB72" s="1"/>
      <c r="JC72" s="1"/>
      <c r="JD72" s="1"/>
      <c r="JE72" s="1"/>
      <c r="JF72" s="1"/>
      <c r="JG72" s="1"/>
      <c r="JH72" s="1"/>
      <c r="JI72" s="1"/>
      <c r="JJ72" s="1"/>
      <c r="JK72" s="1"/>
      <c r="JL72" s="1"/>
      <c r="JM72" s="1"/>
      <c r="JN72" s="1"/>
      <c r="JO72" s="1"/>
      <c r="JP72" s="1"/>
      <c r="JQ72" s="1"/>
      <c r="JR72" s="1"/>
      <c r="JS72" s="1"/>
      <c r="JT72" s="1"/>
      <c r="JU72" s="1"/>
      <c r="JV72" s="1"/>
      <c r="JW72" s="1"/>
      <c r="JX72" s="1"/>
      <c r="JY72" s="1"/>
      <c r="JZ72" s="1"/>
      <c r="KA72" s="1"/>
      <c r="KB72" s="1"/>
      <c r="KC72" s="1"/>
      <c r="KD72" s="1"/>
      <c r="KE72" s="1"/>
      <c r="KF72" s="1"/>
      <c r="KG72" s="1"/>
      <c r="KH72" s="1"/>
      <c r="KI72" s="1"/>
      <c r="KJ72" s="1"/>
      <c r="KK72" s="1"/>
      <c r="KL72" s="1"/>
      <c r="KM72" s="1"/>
      <c r="KN72" s="1"/>
      <c r="KO72" s="1"/>
      <c r="KP72" s="1"/>
      <c r="KQ72" s="1"/>
      <c r="KR72" s="1"/>
      <c r="KS72" s="1"/>
      <c r="KT72" s="1"/>
      <c r="KU72" s="1"/>
      <c r="KV72" s="1"/>
      <c r="KW72" s="1"/>
      <c r="KX72" s="1"/>
      <c r="KY72" s="1"/>
      <c r="KZ72" s="1"/>
      <c r="LA72" s="1"/>
      <c r="LB72" s="1"/>
      <c r="LC72" s="1"/>
      <c r="LD72" s="1"/>
      <c r="LE72" s="1"/>
      <c r="LF72" s="1"/>
      <c r="LG72" s="1"/>
      <c r="LH72" s="1"/>
      <c r="LI72" s="1"/>
      <c r="LJ72" s="1"/>
      <c r="LK72" s="1"/>
      <c r="LL72" s="1"/>
      <c r="LM72" s="1"/>
      <c r="LN72" s="1"/>
      <c r="LO72" s="1"/>
      <c r="LP72" s="1"/>
      <c r="LQ72" s="1"/>
      <c r="LR72" s="1"/>
      <c r="LS72" s="1"/>
      <c r="LT72" s="1"/>
      <c r="LU72" s="1"/>
      <c r="LV72" s="1"/>
      <c r="LW72" s="1"/>
      <c r="LX72" s="1"/>
      <c r="LY72" s="1"/>
      <c r="LZ72" s="1"/>
      <c r="MA72" s="1"/>
      <c r="MB72" s="1"/>
      <c r="MC72" s="1"/>
      <c r="MD72" s="1"/>
      <c r="ME72" s="1"/>
      <c r="MF72" s="1"/>
      <c r="MG72" s="1"/>
      <c r="MH72" s="1"/>
      <c r="MI72" s="1"/>
      <c r="MJ72" s="1"/>
      <c r="MK72" s="1"/>
      <c r="ML72" s="1"/>
      <c r="MM72" s="1"/>
      <c r="MN72" s="1"/>
      <c r="MO72" s="1"/>
      <c r="MP72" s="1"/>
      <c r="MQ72" s="1"/>
      <c r="MR72" s="1"/>
      <c r="MS72" s="1"/>
      <c r="MT72" s="1"/>
      <c r="MU72" s="1"/>
      <c r="MV72" s="1"/>
      <c r="MW72" s="1"/>
      <c r="MX72" s="1"/>
      <c r="MY72" s="1"/>
      <c r="MZ72" s="1" t="s">
        <v>37</v>
      </c>
      <c r="NA72" s="1"/>
      <c r="NB72" s="1"/>
      <c r="NC72" s="1"/>
      <c r="ND72" s="1"/>
      <c r="NE72" s="1"/>
      <c r="NF72" s="1"/>
      <c r="NG72" s="1"/>
      <c r="NH72" s="1"/>
      <c r="NI72" s="1"/>
      <c r="NK72" s="18">
        <f t="array" aca="1" ref="NK72" ca="1">SUMPRODUCT((OFFSET($A72,0,1,1,372)&lt;&gt;"")*(IF(OFFSET($A72,0,1,1,372)=$NX$16,0.5,IF(OFFSET($A72,0,1,1,372)=$NX$17,0.5,1))*(OFFSET($A$3,0,1,1,372))))</f>
        <v>1</v>
      </c>
      <c r="NL72" s="23">
        <f t="shared" ca="1" si="11"/>
        <v>0</v>
      </c>
      <c r="NM72" s="23">
        <f t="shared" ca="1" si="11"/>
        <v>0</v>
      </c>
      <c r="NN72" s="23">
        <f t="shared" ca="1" si="11"/>
        <v>0</v>
      </c>
      <c r="NO72" s="23">
        <f t="shared" ca="1" si="11"/>
        <v>1</v>
      </c>
      <c r="NP72" s="23">
        <f t="shared" ca="1" si="11"/>
        <v>0</v>
      </c>
      <c r="NQ72" s="23">
        <f t="shared" ca="1" si="10"/>
        <v>0</v>
      </c>
      <c r="NR72" s="23">
        <f t="shared" ca="1" si="10"/>
        <v>0</v>
      </c>
      <c r="NS72" s="23">
        <f t="shared" ca="1" si="10"/>
        <v>0</v>
      </c>
      <c r="NT72" s="23">
        <f t="shared" ca="1" si="10"/>
        <v>0</v>
      </c>
      <c r="NU72" s="23">
        <f t="shared" ca="1" si="10"/>
        <v>0</v>
      </c>
    </row>
    <row r="73" spans="1:385" x14ac:dyDescent="0.25">
      <c r="A73" s="1" t="s">
        <v>125</v>
      </c>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c r="GF73" s="1"/>
      <c r="GG73" s="1"/>
      <c r="GH73" s="1"/>
      <c r="GI73" s="1"/>
      <c r="GJ73" s="1"/>
      <c r="GK73" s="1"/>
      <c r="GL73" s="1"/>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1"/>
      <c r="HQ73" s="1"/>
      <c r="HR73" s="1"/>
      <c r="HS73" s="1"/>
      <c r="HT73" s="1"/>
      <c r="HU73" s="1"/>
      <c r="HV73" s="1"/>
      <c r="HW73" s="1"/>
      <c r="HX73" s="1"/>
      <c r="HY73" s="1"/>
      <c r="HZ73" s="1"/>
      <c r="IA73" s="1"/>
      <c r="IB73" s="1"/>
      <c r="IC73" s="1"/>
      <c r="ID73" s="1"/>
      <c r="IE73" s="1"/>
      <c r="IF73" s="1"/>
      <c r="IG73" s="1"/>
      <c r="IH73" s="1"/>
      <c r="II73" s="1"/>
      <c r="IJ73" s="1"/>
      <c r="IK73" s="1"/>
      <c r="IL73" s="1"/>
      <c r="IM73" s="1"/>
      <c r="IN73" s="1"/>
      <c r="IO73" s="1"/>
      <c r="IP73" s="1"/>
      <c r="IQ73" s="1"/>
      <c r="IR73" s="1"/>
      <c r="IS73" s="1"/>
      <c r="IT73" s="1"/>
      <c r="IU73" s="1"/>
      <c r="IV73" s="1"/>
      <c r="IW73" s="1"/>
      <c r="IX73" s="1"/>
      <c r="IY73" s="1"/>
      <c r="IZ73" s="1"/>
      <c r="JA73" s="1"/>
      <c r="JB73" s="1"/>
      <c r="JC73" s="1"/>
      <c r="JD73" s="1"/>
      <c r="JE73" s="1"/>
      <c r="JF73" s="1"/>
      <c r="JG73" s="1"/>
      <c r="JH73" s="1"/>
      <c r="JI73" s="1"/>
      <c r="JJ73" s="1"/>
      <c r="JK73" s="1"/>
      <c r="JL73" s="1"/>
      <c r="JM73" s="1"/>
      <c r="JN73" s="1"/>
      <c r="JO73" s="1"/>
      <c r="JP73" s="1"/>
      <c r="JQ73" s="1"/>
      <c r="JR73" s="1"/>
      <c r="JS73" s="1"/>
      <c r="JT73" s="1"/>
      <c r="JU73" s="1"/>
      <c r="JV73" s="1"/>
      <c r="JW73" s="1"/>
      <c r="JX73" s="1"/>
      <c r="JY73" s="1"/>
      <c r="JZ73" s="1"/>
      <c r="KA73" s="1"/>
      <c r="KB73" s="1"/>
      <c r="KC73" s="1"/>
      <c r="KD73" s="1"/>
      <c r="KE73" s="1"/>
      <c r="KF73" s="1"/>
      <c r="KG73" s="1"/>
      <c r="KH73" s="1"/>
      <c r="KI73" s="1"/>
      <c r="KJ73" s="1"/>
      <c r="KK73" s="1"/>
      <c r="KL73" s="1"/>
      <c r="KM73" s="1"/>
      <c r="KN73" s="1"/>
      <c r="KO73" s="1"/>
      <c r="KP73" s="1"/>
      <c r="KQ73" s="1"/>
      <c r="KR73" s="1"/>
      <c r="KS73" s="1"/>
      <c r="KT73" s="1"/>
      <c r="KU73" s="1"/>
      <c r="KV73" s="1"/>
      <c r="KW73" s="1"/>
      <c r="KX73" s="1"/>
      <c r="KY73" s="1"/>
      <c r="KZ73" s="1"/>
      <c r="LA73" s="1"/>
      <c r="LB73" s="1"/>
      <c r="LC73" s="1"/>
      <c r="LD73" s="1"/>
      <c r="LE73" s="1"/>
      <c r="LF73" s="1"/>
      <c r="LG73" s="1"/>
      <c r="LH73" s="1"/>
      <c r="LI73" s="1"/>
      <c r="LJ73" s="1"/>
      <c r="LK73" s="1"/>
      <c r="LL73" s="1"/>
      <c r="LM73" s="1"/>
      <c r="LN73" s="1"/>
      <c r="LO73" s="1"/>
      <c r="LP73" s="1"/>
      <c r="LQ73" s="1"/>
      <c r="LR73" s="1"/>
      <c r="LS73" s="1"/>
      <c r="LT73" s="1"/>
      <c r="LU73" s="1"/>
      <c r="LV73" s="1"/>
      <c r="LW73" s="1"/>
      <c r="LX73" s="1"/>
      <c r="LY73" s="1"/>
      <c r="LZ73" s="1"/>
      <c r="MA73" s="1"/>
      <c r="MB73" s="1"/>
      <c r="MC73" s="1"/>
      <c r="MD73" s="1"/>
      <c r="ME73" s="1"/>
      <c r="MF73" s="1"/>
      <c r="MG73" s="1"/>
      <c r="MH73" s="1"/>
      <c r="MI73" s="1"/>
      <c r="MJ73" s="1"/>
      <c r="MK73" s="1"/>
      <c r="ML73" s="1"/>
      <c r="MM73" s="1"/>
      <c r="MN73" s="1"/>
      <c r="MO73" s="1"/>
      <c r="MP73" s="1"/>
      <c r="MQ73" s="1"/>
      <c r="MR73" s="1"/>
      <c r="MS73" s="1"/>
      <c r="MT73" s="1"/>
      <c r="MU73" s="1"/>
      <c r="MV73" s="1"/>
      <c r="MW73" s="1"/>
      <c r="MX73" s="1"/>
      <c r="MY73" s="1"/>
      <c r="MZ73" s="1" t="s">
        <v>37</v>
      </c>
      <c r="NA73" s="1"/>
      <c r="NB73" s="1"/>
      <c r="NC73" s="1"/>
      <c r="ND73" s="1"/>
      <c r="NE73" s="1"/>
      <c r="NF73" s="1"/>
      <c r="NG73" s="1"/>
      <c r="NH73" s="1"/>
      <c r="NI73" s="1"/>
      <c r="NK73" s="18">
        <f t="array" aca="1" ref="NK73" ca="1">SUMPRODUCT((OFFSET($A73,0,1,1,372)&lt;&gt;"")*(IF(OFFSET($A73,0,1,1,372)=$NX$16,0.5,IF(OFFSET($A73,0,1,1,372)=$NX$17,0.5,1))*(OFFSET($A$3,0,1,1,372))))</f>
        <v>1</v>
      </c>
      <c r="NL73" s="23">
        <f t="shared" ca="1" si="11"/>
        <v>0</v>
      </c>
      <c r="NM73" s="23">
        <f t="shared" ca="1" si="11"/>
        <v>0</v>
      </c>
      <c r="NN73" s="23">
        <f t="shared" ca="1" si="11"/>
        <v>0</v>
      </c>
      <c r="NO73" s="23">
        <f t="shared" ca="1" si="11"/>
        <v>1</v>
      </c>
      <c r="NP73" s="23">
        <f t="shared" ca="1" si="11"/>
        <v>0</v>
      </c>
      <c r="NQ73" s="23">
        <f t="shared" ca="1" si="10"/>
        <v>0</v>
      </c>
      <c r="NR73" s="23">
        <f t="shared" ca="1" si="10"/>
        <v>0</v>
      </c>
      <c r="NS73" s="23">
        <f t="shared" ca="1" si="10"/>
        <v>0</v>
      </c>
      <c r="NT73" s="23">
        <f t="shared" ca="1" si="10"/>
        <v>0</v>
      </c>
      <c r="NU73" s="23">
        <f t="shared" ca="1" si="10"/>
        <v>0</v>
      </c>
    </row>
    <row r="74" spans="1:385" x14ac:dyDescent="0.25">
      <c r="A74" s="1" t="s">
        <v>126</v>
      </c>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c r="GF74" s="1"/>
      <c r="GG74" s="1"/>
      <c r="GH74" s="1"/>
      <c r="GI74" s="1"/>
      <c r="GJ74" s="1"/>
      <c r="GK74" s="1"/>
      <c r="GL74" s="1"/>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1"/>
      <c r="HQ74" s="1"/>
      <c r="HR74" s="1"/>
      <c r="HS74" s="1"/>
      <c r="HT74" s="1"/>
      <c r="HU74" s="1"/>
      <c r="HV74" s="1"/>
      <c r="HW74" s="1"/>
      <c r="HX74" s="1"/>
      <c r="HY74" s="1"/>
      <c r="HZ74" s="1"/>
      <c r="IA74" s="1"/>
      <c r="IB74" s="1"/>
      <c r="IC74" s="1"/>
      <c r="ID74" s="1"/>
      <c r="IE74" s="1"/>
      <c r="IF74" s="1"/>
      <c r="IG74" s="1"/>
      <c r="IH74" s="1"/>
      <c r="II74" s="1"/>
      <c r="IJ74" s="1"/>
      <c r="IK74" s="1"/>
      <c r="IL74" s="1"/>
      <c r="IM74" s="1"/>
      <c r="IN74" s="1"/>
      <c r="IO74" s="1"/>
      <c r="IP74" s="1"/>
      <c r="IQ74" s="1"/>
      <c r="IR74" s="1"/>
      <c r="IS74" s="1"/>
      <c r="IT74" s="1"/>
      <c r="IU74" s="1"/>
      <c r="IV74" s="1"/>
      <c r="IW74" s="1"/>
      <c r="IX74" s="1"/>
      <c r="IY74" s="1"/>
      <c r="IZ74" s="1"/>
      <c r="JA74" s="1"/>
      <c r="JB74" s="1"/>
      <c r="JC74" s="1"/>
      <c r="JD74" s="1"/>
      <c r="JE74" s="1"/>
      <c r="JF74" s="1"/>
      <c r="JG74" s="1"/>
      <c r="JH74" s="1"/>
      <c r="JI74" s="1"/>
      <c r="JJ74" s="1"/>
      <c r="JK74" s="1"/>
      <c r="JL74" s="1"/>
      <c r="JM74" s="1"/>
      <c r="JN74" s="1"/>
      <c r="JO74" s="1"/>
      <c r="JP74" s="1"/>
      <c r="JQ74" s="1"/>
      <c r="JR74" s="1"/>
      <c r="JS74" s="1"/>
      <c r="JT74" s="1"/>
      <c r="JU74" s="1"/>
      <c r="JV74" s="1"/>
      <c r="JW74" s="1"/>
      <c r="JX74" s="1"/>
      <c r="JY74" s="1"/>
      <c r="JZ74" s="1"/>
      <c r="KA74" s="1"/>
      <c r="KB74" s="1"/>
      <c r="KC74" s="1"/>
      <c r="KD74" s="1"/>
      <c r="KE74" s="1"/>
      <c r="KF74" s="1"/>
      <c r="KG74" s="1"/>
      <c r="KH74" s="1"/>
      <c r="KI74" s="1"/>
      <c r="KJ74" s="1"/>
      <c r="KK74" s="1"/>
      <c r="KL74" s="1"/>
      <c r="KM74" s="1"/>
      <c r="KN74" s="1"/>
      <c r="KO74" s="1"/>
      <c r="KP74" s="1"/>
      <c r="KQ74" s="1"/>
      <c r="KR74" s="1"/>
      <c r="KS74" s="1"/>
      <c r="KT74" s="1"/>
      <c r="KU74" s="1"/>
      <c r="KV74" s="1"/>
      <c r="KW74" s="1"/>
      <c r="KX74" s="1"/>
      <c r="KY74" s="1"/>
      <c r="KZ74" s="1"/>
      <c r="LA74" s="1"/>
      <c r="LB74" s="1"/>
      <c r="LC74" s="1"/>
      <c r="LD74" s="1"/>
      <c r="LE74" s="1"/>
      <c r="LF74" s="1"/>
      <c r="LG74" s="1"/>
      <c r="LH74" s="1"/>
      <c r="LI74" s="1"/>
      <c r="LJ74" s="1"/>
      <c r="LK74" s="1"/>
      <c r="LL74" s="1"/>
      <c r="LM74" s="1"/>
      <c r="LN74" s="1"/>
      <c r="LO74" s="1"/>
      <c r="LP74" s="1"/>
      <c r="LQ74" s="1"/>
      <c r="LR74" s="1"/>
      <c r="LS74" s="1"/>
      <c r="LT74" s="1"/>
      <c r="LU74" s="1"/>
      <c r="LV74" s="1"/>
      <c r="LW74" s="1"/>
      <c r="LX74" s="1"/>
      <c r="LY74" s="1"/>
      <c r="LZ74" s="1"/>
      <c r="MA74" s="1"/>
      <c r="MB74" s="1"/>
      <c r="MC74" s="1"/>
      <c r="MD74" s="1"/>
      <c r="ME74" s="1"/>
      <c r="MF74" s="1"/>
      <c r="MG74" s="1"/>
      <c r="MH74" s="1"/>
      <c r="MI74" s="1"/>
      <c r="MJ74" s="1"/>
      <c r="MK74" s="1"/>
      <c r="ML74" s="1"/>
      <c r="MM74" s="1"/>
      <c r="MN74" s="1"/>
      <c r="MO74" s="1"/>
      <c r="MP74" s="1"/>
      <c r="MQ74" s="1"/>
      <c r="MR74" s="1"/>
      <c r="MS74" s="1"/>
      <c r="MT74" s="1"/>
      <c r="MU74" s="1"/>
      <c r="MV74" s="1"/>
      <c r="MW74" s="1"/>
      <c r="MX74" s="1"/>
      <c r="MY74" s="1"/>
      <c r="MZ74" s="1" t="s">
        <v>37</v>
      </c>
      <c r="NA74" s="1"/>
      <c r="NB74" s="1"/>
      <c r="NC74" s="1"/>
      <c r="ND74" s="1"/>
      <c r="NE74" s="1"/>
      <c r="NF74" s="1"/>
      <c r="NG74" s="1"/>
      <c r="NH74" s="1"/>
      <c r="NI74" s="1"/>
      <c r="NK74" s="18">
        <f t="array" aca="1" ref="NK74" ca="1">SUMPRODUCT((OFFSET($A74,0,1,1,372)&lt;&gt;"")*(IF(OFFSET($A74,0,1,1,372)=$NX$16,0.5,IF(OFFSET($A74,0,1,1,372)=$NX$17,0.5,1))*(OFFSET($A$3,0,1,1,372))))</f>
        <v>1</v>
      </c>
      <c r="NL74" s="23">
        <f t="shared" ca="1" si="11"/>
        <v>0</v>
      </c>
      <c r="NM74" s="23">
        <f t="shared" ca="1" si="11"/>
        <v>0</v>
      </c>
      <c r="NN74" s="23">
        <f t="shared" ca="1" si="11"/>
        <v>0</v>
      </c>
      <c r="NO74" s="23">
        <f t="shared" ca="1" si="11"/>
        <v>1</v>
      </c>
      <c r="NP74" s="23">
        <f t="shared" ca="1" si="11"/>
        <v>0</v>
      </c>
      <c r="NQ74" s="23">
        <f t="shared" ca="1" si="10"/>
        <v>0</v>
      </c>
      <c r="NR74" s="23">
        <f t="shared" ca="1" si="10"/>
        <v>0</v>
      </c>
      <c r="NS74" s="23">
        <f t="shared" ca="1" si="10"/>
        <v>0</v>
      </c>
      <c r="NT74" s="23">
        <f t="shared" ca="1" si="10"/>
        <v>0</v>
      </c>
      <c r="NU74" s="23">
        <f t="shared" ca="1" si="10"/>
        <v>0</v>
      </c>
    </row>
    <row r="75" spans="1:385" x14ac:dyDescent="0.25">
      <c r="A75" s="1" t="s">
        <v>127</v>
      </c>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c r="GF75" s="1"/>
      <c r="GG75" s="1"/>
      <c r="GH75" s="1"/>
      <c r="GI75" s="1"/>
      <c r="GJ75" s="1"/>
      <c r="GK75" s="1"/>
      <c r="GL75" s="1"/>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1"/>
      <c r="HQ75" s="1"/>
      <c r="HR75" s="1"/>
      <c r="HS75" s="1"/>
      <c r="HT75" s="1"/>
      <c r="HU75" s="1"/>
      <c r="HV75" s="1"/>
      <c r="HW75" s="1"/>
      <c r="HX75" s="1"/>
      <c r="HY75" s="1"/>
      <c r="HZ75" s="1"/>
      <c r="IA75" s="1"/>
      <c r="IB75" s="1"/>
      <c r="IC75" s="1"/>
      <c r="ID75" s="1"/>
      <c r="IE75" s="1"/>
      <c r="IF75" s="1"/>
      <c r="IG75" s="1"/>
      <c r="IH75" s="1"/>
      <c r="II75" s="1"/>
      <c r="IJ75" s="1"/>
      <c r="IK75" s="1"/>
      <c r="IL75" s="1"/>
      <c r="IM75" s="1"/>
      <c r="IN75" s="1"/>
      <c r="IO75" s="1"/>
      <c r="IP75" s="1"/>
      <c r="IQ75" s="1"/>
      <c r="IR75" s="1"/>
      <c r="IS75" s="1"/>
      <c r="IT75" s="1"/>
      <c r="IU75" s="1"/>
      <c r="IV75" s="1"/>
      <c r="IW75" s="1"/>
      <c r="IX75" s="1"/>
      <c r="IY75" s="1"/>
      <c r="IZ75" s="1"/>
      <c r="JA75" s="1"/>
      <c r="JB75" s="1"/>
      <c r="JC75" s="1"/>
      <c r="JD75" s="1"/>
      <c r="JE75" s="1"/>
      <c r="JF75" s="1"/>
      <c r="JG75" s="1"/>
      <c r="JH75" s="1"/>
      <c r="JI75" s="1"/>
      <c r="JJ75" s="1"/>
      <c r="JK75" s="1"/>
      <c r="JL75" s="1"/>
      <c r="JM75" s="1"/>
      <c r="JN75" s="1"/>
      <c r="JO75" s="1"/>
      <c r="JP75" s="1"/>
      <c r="JQ75" s="1"/>
      <c r="JR75" s="1"/>
      <c r="JS75" s="1"/>
      <c r="JT75" s="1"/>
      <c r="JU75" s="1"/>
      <c r="JV75" s="1"/>
      <c r="JW75" s="1"/>
      <c r="JX75" s="1"/>
      <c r="JY75" s="1"/>
      <c r="JZ75" s="1"/>
      <c r="KA75" s="1"/>
      <c r="KB75" s="1"/>
      <c r="KC75" s="1"/>
      <c r="KD75" s="1"/>
      <c r="KE75" s="1"/>
      <c r="KF75" s="1"/>
      <c r="KG75" s="1"/>
      <c r="KH75" s="1"/>
      <c r="KI75" s="1"/>
      <c r="KJ75" s="1"/>
      <c r="KK75" s="1"/>
      <c r="KL75" s="1"/>
      <c r="KM75" s="1"/>
      <c r="KN75" s="1"/>
      <c r="KO75" s="1"/>
      <c r="KP75" s="1"/>
      <c r="KQ75" s="1"/>
      <c r="KR75" s="1"/>
      <c r="KS75" s="1"/>
      <c r="KT75" s="1"/>
      <c r="KU75" s="1"/>
      <c r="KV75" s="1"/>
      <c r="KW75" s="1"/>
      <c r="KX75" s="1"/>
      <c r="KY75" s="1"/>
      <c r="KZ75" s="1"/>
      <c r="LA75" s="1"/>
      <c r="LB75" s="1"/>
      <c r="LC75" s="1"/>
      <c r="LD75" s="1"/>
      <c r="LE75" s="1"/>
      <c r="LF75" s="1"/>
      <c r="LG75" s="1"/>
      <c r="LH75" s="1"/>
      <c r="LI75" s="1"/>
      <c r="LJ75" s="1"/>
      <c r="LK75" s="1"/>
      <c r="LL75" s="1"/>
      <c r="LM75" s="1"/>
      <c r="LN75" s="1"/>
      <c r="LO75" s="1"/>
      <c r="LP75" s="1"/>
      <c r="LQ75" s="1"/>
      <c r="LR75" s="1"/>
      <c r="LS75" s="1"/>
      <c r="LT75" s="1"/>
      <c r="LU75" s="1"/>
      <c r="LV75" s="1"/>
      <c r="LW75" s="1"/>
      <c r="LX75" s="1"/>
      <c r="LY75" s="1"/>
      <c r="LZ75" s="1"/>
      <c r="MA75" s="1"/>
      <c r="MB75" s="1"/>
      <c r="MC75" s="1"/>
      <c r="MD75" s="1"/>
      <c r="ME75" s="1"/>
      <c r="MF75" s="1"/>
      <c r="MG75" s="1"/>
      <c r="MH75" s="1"/>
      <c r="MI75" s="1"/>
      <c r="MJ75" s="1"/>
      <c r="MK75" s="1"/>
      <c r="ML75" s="1"/>
      <c r="MM75" s="1"/>
      <c r="MN75" s="1"/>
      <c r="MO75" s="1"/>
      <c r="MP75" s="1"/>
      <c r="MQ75" s="1"/>
      <c r="MR75" s="1"/>
      <c r="MS75" s="1"/>
      <c r="MT75" s="1"/>
      <c r="MU75" s="1"/>
      <c r="MV75" s="1"/>
      <c r="MW75" s="1"/>
      <c r="MX75" s="1"/>
      <c r="MY75" s="1"/>
      <c r="MZ75" s="1" t="s">
        <v>37</v>
      </c>
      <c r="NA75" s="1"/>
      <c r="NB75" s="1"/>
      <c r="NC75" s="1"/>
      <c r="ND75" s="1"/>
      <c r="NE75" s="1"/>
      <c r="NF75" s="1"/>
      <c r="NG75" s="1"/>
      <c r="NH75" s="1"/>
      <c r="NI75" s="1"/>
      <c r="NK75" s="18">
        <f t="array" aca="1" ref="NK75" ca="1">SUMPRODUCT((OFFSET($A75,0,1,1,372)&lt;&gt;"")*(IF(OFFSET($A75,0,1,1,372)=$NX$16,0.5,IF(OFFSET($A75,0,1,1,372)=$NX$17,0.5,1))*(OFFSET($A$3,0,1,1,372))))</f>
        <v>1</v>
      </c>
      <c r="NL75" s="23">
        <f t="shared" ca="1" si="11"/>
        <v>0</v>
      </c>
      <c r="NM75" s="23">
        <f t="shared" ca="1" si="11"/>
        <v>0</v>
      </c>
      <c r="NN75" s="23">
        <f t="shared" ca="1" si="11"/>
        <v>0</v>
      </c>
      <c r="NO75" s="23">
        <f t="shared" ca="1" si="11"/>
        <v>1</v>
      </c>
      <c r="NP75" s="23">
        <f t="shared" ca="1" si="11"/>
        <v>0</v>
      </c>
      <c r="NQ75" s="23">
        <f t="shared" ca="1" si="10"/>
        <v>0</v>
      </c>
      <c r="NR75" s="23">
        <f t="shared" ca="1" si="10"/>
        <v>0</v>
      </c>
      <c r="NS75" s="23">
        <f t="shared" ca="1" si="10"/>
        <v>0</v>
      </c>
      <c r="NT75" s="23">
        <f t="shared" ca="1" si="10"/>
        <v>0</v>
      </c>
      <c r="NU75" s="23">
        <f t="shared" ca="1" si="10"/>
        <v>0</v>
      </c>
    </row>
    <row r="76" spans="1:385" x14ac:dyDescent="0.25">
      <c r="A76" s="1" t="s">
        <v>128</v>
      </c>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t="s">
        <v>37</v>
      </c>
      <c r="NA76" s="1"/>
      <c r="NB76" s="1"/>
      <c r="NC76" s="1"/>
      <c r="ND76" s="1"/>
      <c r="NE76" s="1"/>
      <c r="NF76" s="1"/>
      <c r="NG76" s="1"/>
      <c r="NH76" s="1"/>
      <c r="NI76" s="1"/>
      <c r="NK76" s="18">
        <f t="array" aca="1" ref="NK76" ca="1">SUMPRODUCT((OFFSET($A76,0,1,1,372)&lt;&gt;"")*(IF(OFFSET($A76,0,1,1,372)=$NX$16,0.5,IF(OFFSET($A76,0,1,1,372)=$NX$17,0.5,1))*(OFFSET($A$3,0,1,1,372))))</f>
        <v>1</v>
      </c>
      <c r="NL76" s="23">
        <f t="shared" ca="1" si="11"/>
        <v>0</v>
      </c>
      <c r="NM76" s="23">
        <f t="shared" ca="1" si="11"/>
        <v>0</v>
      </c>
      <c r="NN76" s="23">
        <f t="shared" ca="1" si="11"/>
        <v>0</v>
      </c>
      <c r="NO76" s="23">
        <f t="shared" ca="1" si="11"/>
        <v>1</v>
      </c>
      <c r="NP76" s="23">
        <f t="shared" ca="1" si="11"/>
        <v>0</v>
      </c>
      <c r="NQ76" s="23">
        <f t="shared" ca="1" si="10"/>
        <v>0</v>
      </c>
      <c r="NR76" s="23">
        <f t="shared" ca="1" si="10"/>
        <v>0</v>
      </c>
      <c r="NS76" s="23">
        <f t="shared" ca="1" si="10"/>
        <v>0</v>
      </c>
      <c r="NT76" s="23">
        <f t="shared" ca="1" si="10"/>
        <v>0</v>
      </c>
      <c r="NU76" s="23">
        <f t="shared" ca="1" si="10"/>
        <v>0</v>
      </c>
    </row>
    <row r="77" spans="1:385" x14ac:dyDescent="0.25">
      <c r="A77" s="1" t="s">
        <v>129</v>
      </c>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c r="FW77" s="1"/>
      <c r="FX77" s="1"/>
      <c r="FY77" s="1"/>
      <c r="FZ77" s="1"/>
      <c r="GA77" s="1"/>
      <c r="GB77" s="1"/>
      <c r="GC77" s="1"/>
      <c r="GD77" s="1"/>
      <c r="GE77" s="1"/>
      <c r="GF77" s="1"/>
      <c r="GG77" s="1"/>
      <c r="GH77" s="1"/>
      <c r="GI77" s="1"/>
      <c r="GJ77" s="1"/>
      <c r="GK77" s="1"/>
      <c r="GL77" s="1"/>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1"/>
      <c r="HQ77" s="1"/>
      <c r="HR77" s="1"/>
      <c r="HS77" s="1"/>
      <c r="HT77" s="1"/>
      <c r="HU77" s="1"/>
      <c r="HV77" s="1"/>
      <c r="HW77" s="1"/>
      <c r="HX77" s="1"/>
      <c r="HY77" s="1"/>
      <c r="HZ77" s="1"/>
      <c r="IA77" s="1"/>
      <c r="IB77" s="1"/>
      <c r="IC77" s="1"/>
      <c r="ID77" s="1"/>
      <c r="IE77" s="1"/>
      <c r="IF77" s="1"/>
      <c r="IG77" s="1"/>
      <c r="IH77" s="1"/>
      <c r="II77" s="1"/>
      <c r="IJ77" s="1"/>
      <c r="IK77" s="1"/>
      <c r="IL77" s="1"/>
      <c r="IM77" s="1"/>
      <c r="IN77" s="1"/>
      <c r="IO77" s="1"/>
      <c r="IP77" s="1"/>
      <c r="IQ77" s="1"/>
      <c r="IR77" s="1"/>
      <c r="IS77" s="1"/>
      <c r="IT77" s="1"/>
      <c r="IU77" s="1"/>
      <c r="IV77" s="1"/>
      <c r="IW77" s="1"/>
      <c r="IX77" s="1"/>
      <c r="IY77" s="1"/>
      <c r="IZ77" s="1"/>
      <c r="JA77" s="1"/>
      <c r="JB77" s="1"/>
      <c r="JC77" s="1"/>
      <c r="JD77" s="1"/>
      <c r="JE77" s="1"/>
      <c r="JF77" s="1"/>
      <c r="JG77" s="1"/>
      <c r="JH77" s="1"/>
      <c r="JI77" s="1"/>
      <c r="JJ77" s="1"/>
      <c r="JK77" s="1"/>
      <c r="JL77" s="1"/>
      <c r="JM77" s="1"/>
      <c r="JN77" s="1"/>
      <c r="JO77" s="1"/>
      <c r="JP77" s="1"/>
      <c r="JQ77" s="1"/>
      <c r="JR77" s="1"/>
      <c r="JS77" s="1"/>
      <c r="JT77" s="1"/>
      <c r="JU77" s="1"/>
      <c r="JV77" s="1"/>
      <c r="JW77" s="1"/>
      <c r="JX77" s="1"/>
      <c r="JY77" s="1"/>
      <c r="JZ77" s="1"/>
      <c r="KA77" s="1"/>
      <c r="KB77" s="1"/>
      <c r="KC77" s="1"/>
      <c r="KD77" s="1"/>
      <c r="KE77" s="1"/>
      <c r="KF77" s="1"/>
      <c r="KG77" s="1"/>
      <c r="KH77" s="1"/>
      <c r="KI77" s="1"/>
      <c r="KJ77" s="1"/>
      <c r="KK77" s="1"/>
      <c r="KL77" s="1"/>
      <c r="KM77" s="1"/>
      <c r="KN77" s="1"/>
      <c r="KO77" s="1"/>
      <c r="KP77" s="1"/>
      <c r="KQ77" s="1"/>
      <c r="KR77" s="1"/>
      <c r="KS77" s="1"/>
      <c r="KT77" s="1"/>
      <c r="KU77" s="1"/>
      <c r="KV77" s="1"/>
      <c r="KW77" s="1"/>
      <c r="KX77" s="1"/>
      <c r="KY77" s="1"/>
      <c r="KZ77" s="1"/>
      <c r="LA77" s="1"/>
      <c r="LB77" s="1"/>
      <c r="LC77" s="1"/>
      <c r="LD77" s="1"/>
      <c r="LE77" s="1"/>
      <c r="LF77" s="1"/>
      <c r="LG77" s="1"/>
      <c r="LH77" s="1"/>
      <c r="LI77" s="1"/>
      <c r="LJ77" s="1"/>
      <c r="LK77" s="1"/>
      <c r="LL77" s="1"/>
      <c r="LM77" s="1"/>
      <c r="LN77" s="1"/>
      <c r="LO77" s="1"/>
      <c r="LP77" s="1"/>
      <c r="LQ77" s="1"/>
      <c r="LR77" s="1"/>
      <c r="LS77" s="1"/>
      <c r="LT77" s="1"/>
      <c r="LU77" s="1"/>
      <c r="LV77" s="1"/>
      <c r="LW77" s="1"/>
      <c r="LX77" s="1"/>
      <c r="LY77" s="1"/>
      <c r="LZ77" s="1"/>
      <c r="MA77" s="1"/>
      <c r="MB77" s="1"/>
      <c r="MC77" s="1"/>
      <c r="MD77" s="1"/>
      <c r="ME77" s="1"/>
      <c r="MF77" s="1"/>
      <c r="MG77" s="1"/>
      <c r="MH77" s="1"/>
      <c r="MI77" s="1"/>
      <c r="MJ77" s="1"/>
      <c r="MK77" s="1"/>
      <c r="ML77" s="1"/>
      <c r="MM77" s="1"/>
      <c r="MN77" s="1"/>
      <c r="MO77" s="1"/>
      <c r="MP77" s="1"/>
      <c r="MQ77" s="1"/>
      <c r="MR77" s="1"/>
      <c r="MS77" s="1"/>
      <c r="MT77" s="1"/>
      <c r="MU77" s="1"/>
      <c r="MV77" s="1"/>
      <c r="MW77" s="1"/>
      <c r="MX77" s="1"/>
      <c r="MY77" s="1"/>
      <c r="MZ77" s="1" t="s">
        <v>37</v>
      </c>
      <c r="NA77" s="1"/>
      <c r="NB77" s="1"/>
      <c r="NC77" s="1"/>
      <c r="ND77" s="1"/>
      <c r="NE77" s="1"/>
      <c r="NF77" s="1"/>
      <c r="NG77" s="1"/>
      <c r="NH77" s="1"/>
      <c r="NI77" s="1"/>
      <c r="NK77" s="18">
        <f t="array" aca="1" ref="NK77" ca="1">SUMPRODUCT((OFFSET($A77,0,1,1,372)&lt;&gt;"")*(IF(OFFSET($A77,0,1,1,372)=$NX$16,0.5,IF(OFFSET($A77,0,1,1,372)=$NX$17,0.5,1))*(OFFSET($A$3,0,1,1,372))))</f>
        <v>1</v>
      </c>
      <c r="NL77" s="23">
        <f t="shared" ca="1" si="11"/>
        <v>0</v>
      </c>
      <c r="NM77" s="23">
        <f t="shared" ca="1" si="11"/>
        <v>0</v>
      </c>
      <c r="NN77" s="23">
        <f t="shared" ca="1" si="11"/>
        <v>0</v>
      </c>
      <c r="NO77" s="23">
        <f t="shared" ca="1" si="11"/>
        <v>1</v>
      </c>
      <c r="NP77" s="23">
        <f t="shared" ca="1" si="11"/>
        <v>0</v>
      </c>
      <c r="NQ77" s="23">
        <f t="shared" ca="1" si="10"/>
        <v>0</v>
      </c>
      <c r="NR77" s="23">
        <f t="shared" ca="1" si="10"/>
        <v>0</v>
      </c>
      <c r="NS77" s="23">
        <f t="shared" ca="1" si="10"/>
        <v>0</v>
      </c>
      <c r="NT77" s="23">
        <f t="shared" ca="1" si="10"/>
        <v>0</v>
      </c>
      <c r="NU77" s="23">
        <f t="shared" ca="1" si="10"/>
        <v>0</v>
      </c>
    </row>
    <row r="78" spans="1:385" x14ac:dyDescent="0.25">
      <c r="A78" s="1" t="s">
        <v>130</v>
      </c>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c r="GF78" s="1"/>
      <c r="GG78" s="1"/>
      <c r="GH78" s="1"/>
      <c r="GI78" s="1"/>
      <c r="GJ78" s="1"/>
      <c r="GK78" s="1"/>
      <c r="GL78" s="1"/>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1"/>
      <c r="HQ78" s="1"/>
      <c r="HR78" s="1"/>
      <c r="HS78" s="1"/>
      <c r="HT78" s="1"/>
      <c r="HU78" s="1"/>
      <c r="HV78" s="1"/>
      <c r="HW78" s="1"/>
      <c r="HX78" s="1"/>
      <c r="HY78" s="1"/>
      <c r="HZ78" s="1"/>
      <c r="IA78" s="1"/>
      <c r="IB78" s="1"/>
      <c r="IC78" s="1"/>
      <c r="ID78" s="1"/>
      <c r="IE78" s="1"/>
      <c r="IF78" s="1"/>
      <c r="IG78" s="1"/>
      <c r="IH78" s="1"/>
      <c r="II78" s="1"/>
      <c r="IJ78" s="1"/>
      <c r="IK78" s="1"/>
      <c r="IL78" s="1"/>
      <c r="IM78" s="1"/>
      <c r="IN78" s="1"/>
      <c r="IO78" s="1"/>
      <c r="IP78" s="1"/>
      <c r="IQ78" s="1"/>
      <c r="IR78" s="1"/>
      <c r="IS78" s="1"/>
      <c r="IT78" s="1"/>
      <c r="IU78" s="1"/>
      <c r="IV78" s="1"/>
      <c r="IW78" s="1"/>
      <c r="IX78" s="1"/>
      <c r="IY78" s="1"/>
      <c r="IZ78" s="1"/>
      <c r="JA78" s="1"/>
      <c r="JB78" s="1"/>
      <c r="JC78" s="1"/>
      <c r="JD78" s="1"/>
      <c r="JE78" s="1"/>
      <c r="JF78" s="1"/>
      <c r="JG78" s="1"/>
      <c r="JH78" s="1"/>
      <c r="JI78" s="1"/>
      <c r="JJ78" s="1"/>
      <c r="JK78" s="1"/>
      <c r="JL78" s="1"/>
      <c r="JM78" s="1"/>
      <c r="JN78" s="1"/>
      <c r="JO78" s="1"/>
      <c r="JP78" s="1"/>
      <c r="JQ78" s="1"/>
      <c r="JR78" s="1"/>
      <c r="JS78" s="1"/>
      <c r="JT78" s="1"/>
      <c r="JU78" s="1"/>
      <c r="JV78" s="1"/>
      <c r="JW78" s="1"/>
      <c r="JX78" s="1"/>
      <c r="JY78" s="1"/>
      <c r="JZ78" s="1"/>
      <c r="KA78" s="1"/>
      <c r="KB78" s="1"/>
      <c r="KC78" s="1"/>
      <c r="KD78" s="1"/>
      <c r="KE78" s="1"/>
      <c r="KF78" s="1"/>
      <c r="KG78" s="1"/>
      <c r="KH78" s="1"/>
      <c r="KI78" s="1"/>
      <c r="KJ78" s="1"/>
      <c r="KK78" s="1"/>
      <c r="KL78" s="1"/>
      <c r="KM78" s="1"/>
      <c r="KN78" s="1"/>
      <c r="KO78" s="1"/>
      <c r="KP78" s="1"/>
      <c r="KQ78" s="1"/>
      <c r="KR78" s="1"/>
      <c r="KS78" s="1"/>
      <c r="KT78" s="1"/>
      <c r="KU78" s="1"/>
      <c r="KV78" s="1"/>
      <c r="KW78" s="1"/>
      <c r="KX78" s="1"/>
      <c r="KY78" s="1"/>
      <c r="KZ78" s="1"/>
      <c r="LA78" s="1"/>
      <c r="LB78" s="1"/>
      <c r="LC78" s="1"/>
      <c r="LD78" s="1"/>
      <c r="LE78" s="1"/>
      <c r="LF78" s="1"/>
      <c r="LG78" s="1"/>
      <c r="LH78" s="1"/>
      <c r="LI78" s="1"/>
      <c r="LJ78" s="1"/>
      <c r="LK78" s="1"/>
      <c r="LL78" s="1"/>
      <c r="LM78" s="1"/>
      <c r="LN78" s="1"/>
      <c r="LO78" s="1"/>
      <c r="LP78" s="1"/>
      <c r="LQ78" s="1"/>
      <c r="LR78" s="1"/>
      <c r="LS78" s="1"/>
      <c r="LT78" s="1"/>
      <c r="LU78" s="1"/>
      <c r="LV78" s="1"/>
      <c r="LW78" s="1"/>
      <c r="LX78" s="1"/>
      <c r="LY78" s="1"/>
      <c r="LZ78" s="1"/>
      <c r="MA78" s="1"/>
      <c r="MB78" s="1"/>
      <c r="MC78" s="1"/>
      <c r="MD78" s="1"/>
      <c r="ME78" s="1"/>
      <c r="MF78" s="1"/>
      <c r="MG78" s="1"/>
      <c r="MH78" s="1"/>
      <c r="MI78" s="1"/>
      <c r="MJ78" s="1"/>
      <c r="MK78" s="1"/>
      <c r="ML78" s="1"/>
      <c r="MM78" s="1"/>
      <c r="MN78" s="1"/>
      <c r="MO78" s="1"/>
      <c r="MP78" s="1"/>
      <c r="MQ78" s="1"/>
      <c r="MR78" s="1"/>
      <c r="MS78" s="1"/>
      <c r="MT78" s="1"/>
      <c r="MU78" s="1"/>
      <c r="MV78" s="1"/>
      <c r="MW78" s="1"/>
      <c r="MX78" s="1"/>
      <c r="MY78" s="1"/>
      <c r="MZ78" s="1" t="s">
        <v>194</v>
      </c>
      <c r="NA78" s="1" t="s">
        <v>194</v>
      </c>
      <c r="NB78" s="1" t="s">
        <v>194</v>
      </c>
      <c r="NC78" s="1" t="s">
        <v>194</v>
      </c>
      <c r="ND78" s="1"/>
      <c r="NE78" s="1"/>
      <c r="NF78" s="1"/>
      <c r="NG78" s="1"/>
      <c r="NH78" s="1"/>
      <c r="NI78" s="1"/>
      <c r="NK78" s="18">
        <f t="array" aca="1" ref="NK78" ca="1">SUMPRODUCT((OFFSET($A78,0,1,1,372)&lt;&gt;"")*(IF(OFFSET($A78,0,1,1,372)=$NX$16,0.5,IF(OFFSET($A78,0,1,1,372)=$NX$17,0.5,1))*(OFFSET($A$3,0,1,1,372))))</f>
        <v>4</v>
      </c>
      <c r="NL78" s="23">
        <f t="shared" ca="1" si="11"/>
        <v>0</v>
      </c>
      <c r="NM78" s="23">
        <f t="shared" ca="1" si="11"/>
        <v>0</v>
      </c>
      <c r="NN78" s="23">
        <f t="shared" ca="1" si="11"/>
        <v>0</v>
      </c>
      <c r="NO78" s="23">
        <f t="shared" ca="1" si="11"/>
        <v>0</v>
      </c>
      <c r="NP78" s="23">
        <f t="shared" ca="1" si="11"/>
        <v>0</v>
      </c>
      <c r="NQ78" s="23">
        <f t="shared" ca="1" si="10"/>
        <v>0</v>
      </c>
      <c r="NR78" s="23">
        <f t="shared" ca="1" si="10"/>
        <v>0</v>
      </c>
      <c r="NS78" s="23">
        <f t="shared" ca="1" si="10"/>
        <v>0</v>
      </c>
      <c r="NT78" s="23">
        <f t="shared" ca="1" si="10"/>
        <v>0</v>
      </c>
      <c r="NU78" s="23">
        <f t="shared" ca="1" si="10"/>
        <v>0</v>
      </c>
    </row>
    <row r="79" spans="1:385" x14ac:dyDescent="0.25">
      <c r="A79" s="1" t="s">
        <v>131</v>
      </c>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c r="GF79" s="1"/>
      <c r="GG79" s="1"/>
      <c r="GH79" s="1"/>
      <c r="GI79" s="1"/>
      <c r="GJ79" s="1"/>
      <c r="GK79" s="1"/>
      <c r="GL79" s="1"/>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1"/>
      <c r="HQ79" s="1"/>
      <c r="HR79" s="1"/>
      <c r="HS79" s="1"/>
      <c r="HT79" s="1"/>
      <c r="HU79" s="1"/>
      <c r="HV79" s="1"/>
      <c r="HW79" s="1"/>
      <c r="HX79" s="1"/>
      <c r="HY79" s="1"/>
      <c r="HZ79" s="1"/>
      <c r="IA79" s="1"/>
      <c r="IB79" s="1"/>
      <c r="IC79" s="1"/>
      <c r="ID79" s="1"/>
      <c r="IE79" s="1"/>
      <c r="IF79" s="1"/>
      <c r="IG79" s="1"/>
      <c r="IH79" s="1"/>
      <c r="II79" s="1"/>
      <c r="IJ79" s="1"/>
      <c r="IK79" s="1"/>
      <c r="IL79" s="1"/>
      <c r="IM79" s="1"/>
      <c r="IN79" s="1"/>
      <c r="IO79" s="1"/>
      <c r="IP79" s="1"/>
      <c r="IQ79" s="1"/>
      <c r="IR79" s="1"/>
      <c r="IS79" s="1"/>
      <c r="IT79" s="1"/>
      <c r="IU79" s="1"/>
      <c r="IV79" s="1"/>
      <c r="IW79" s="1"/>
      <c r="IX79" s="1"/>
      <c r="IY79" s="1"/>
      <c r="IZ79" s="1"/>
      <c r="JA79" s="1"/>
      <c r="JB79" s="1"/>
      <c r="JC79" s="1"/>
      <c r="JD79" s="1"/>
      <c r="JE79" s="1"/>
      <c r="JF79" s="1"/>
      <c r="JG79" s="1"/>
      <c r="JH79" s="1"/>
      <c r="JI79" s="1"/>
      <c r="JJ79" s="1"/>
      <c r="JK79" s="1"/>
      <c r="JL79" s="1"/>
      <c r="JM79" s="1"/>
      <c r="JN79" s="1"/>
      <c r="JO79" s="1"/>
      <c r="JP79" s="1"/>
      <c r="JQ79" s="1"/>
      <c r="JR79" s="1"/>
      <c r="JS79" s="1"/>
      <c r="JT79" s="1"/>
      <c r="JU79" s="1"/>
      <c r="JV79" s="1"/>
      <c r="JW79" s="1"/>
      <c r="JX79" s="1"/>
      <c r="JY79" s="1"/>
      <c r="JZ79" s="1"/>
      <c r="KA79" s="1"/>
      <c r="KB79" s="1"/>
      <c r="KC79" s="1"/>
      <c r="KD79" s="1"/>
      <c r="KE79" s="1"/>
      <c r="KF79" s="1"/>
      <c r="KG79" s="1"/>
      <c r="KH79" s="1"/>
      <c r="KI79" s="1"/>
      <c r="KJ79" s="1"/>
      <c r="KK79" s="1"/>
      <c r="KL79" s="1"/>
      <c r="KM79" s="1"/>
      <c r="KN79" s="1"/>
      <c r="KO79" s="1"/>
      <c r="KP79" s="1"/>
      <c r="KQ79" s="1"/>
      <c r="KR79" s="1"/>
      <c r="KS79" s="1"/>
      <c r="KT79" s="1"/>
      <c r="KU79" s="1"/>
      <c r="KV79" s="1"/>
      <c r="KW79" s="1"/>
      <c r="KX79" s="1"/>
      <c r="KY79" s="1"/>
      <c r="KZ79" s="1"/>
      <c r="LA79" s="1"/>
      <c r="LB79" s="1"/>
      <c r="LC79" s="1"/>
      <c r="LD79" s="1"/>
      <c r="LE79" s="1"/>
      <c r="LF79" s="1"/>
      <c r="LG79" s="1"/>
      <c r="LH79" s="1"/>
      <c r="LI79" s="1"/>
      <c r="LJ79" s="1"/>
      <c r="LK79" s="1"/>
      <c r="LL79" s="1"/>
      <c r="LM79" s="1"/>
      <c r="LN79" s="1"/>
      <c r="LO79" s="1"/>
      <c r="LP79" s="1"/>
      <c r="LQ79" s="1"/>
      <c r="LR79" s="1"/>
      <c r="LS79" s="1"/>
      <c r="LT79" s="1"/>
      <c r="LU79" s="1"/>
      <c r="LV79" s="1"/>
      <c r="LW79" s="1"/>
      <c r="LX79" s="1"/>
      <c r="LY79" s="1"/>
      <c r="LZ79" s="1"/>
      <c r="MA79" s="1"/>
      <c r="MB79" s="1"/>
      <c r="MC79" s="1"/>
      <c r="MD79" s="1"/>
      <c r="ME79" s="1"/>
      <c r="MF79" s="1"/>
      <c r="MG79" s="1"/>
      <c r="MH79" s="1"/>
      <c r="MI79" s="1"/>
      <c r="MJ79" s="1"/>
      <c r="MK79" s="1"/>
      <c r="ML79" s="1"/>
      <c r="MM79" s="1"/>
      <c r="MN79" s="1"/>
      <c r="MO79" s="1"/>
      <c r="MP79" s="1"/>
      <c r="MQ79" s="1"/>
      <c r="MR79" s="1"/>
      <c r="MS79" s="1"/>
      <c r="MT79" s="1"/>
      <c r="MU79" s="1"/>
      <c r="MV79" s="1"/>
      <c r="MW79" s="1"/>
      <c r="MX79" s="1"/>
      <c r="MY79" s="1"/>
      <c r="MZ79" s="1" t="s">
        <v>37</v>
      </c>
      <c r="NA79" s="1"/>
      <c r="NB79" s="1"/>
      <c r="NC79" s="1"/>
      <c r="ND79" s="1"/>
      <c r="NE79" s="1"/>
      <c r="NF79" s="1"/>
      <c r="NG79" s="1"/>
      <c r="NH79" s="1"/>
      <c r="NI79" s="1"/>
      <c r="NK79" s="18">
        <f t="array" aca="1" ref="NK79" ca="1">SUMPRODUCT((OFFSET($A79,0,1,1,372)&lt;&gt;"")*(IF(OFFSET($A79,0,1,1,372)=$NX$16,0.5,IF(OFFSET($A79,0,1,1,372)=$NX$17,0.5,1))*(OFFSET($A$3,0,1,1,372))))</f>
        <v>1</v>
      </c>
      <c r="NL79" s="23">
        <f t="shared" ca="1" si="11"/>
        <v>0</v>
      </c>
      <c r="NM79" s="23">
        <f t="shared" ca="1" si="11"/>
        <v>0</v>
      </c>
      <c r="NN79" s="23">
        <f t="shared" ca="1" si="11"/>
        <v>0</v>
      </c>
      <c r="NO79" s="23">
        <f t="shared" ca="1" si="11"/>
        <v>1</v>
      </c>
      <c r="NP79" s="23">
        <f t="shared" ca="1" si="11"/>
        <v>0</v>
      </c>
      <c r="NQ79" s="23">
        <f t="shared" ca="1" si="10"/>
        <v>0</v>
      </c>
      <c r="NR79" s="23">
        <f t="shared" ca="1" si="10"/>
        <v>0</v>
      </c>
      <c r="NS79" s="23">
        <f t="shared" ca="1" si="10"/>
        <v>0</v>
      </c>
      <c r="NT79" s="23">
        <f t="shared" ca="1" si="10"/>
        <v>0</v>
      </c>
      <c r="NU79" s="23">
        <f t="shared" ca="1" si="10"/>
        <v>0</v>
      </c>
    </row>
    <row r="80" spans="1:385" x14ac:dyDescent="0.25">
      <c r="A80" s="1" t="s">
        <v>132</v>
      </c>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c r="GF80" s="1"/>
      <c r="GG80" s="1"/>
      <c r="GH80" s="1"/>
      <c r="GI80" s="1"/>
      <c r="GJ80" s="1"/>
      <c r="GK80" s="1"/>
      <c r="GL80" s="1"/>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1"/>
      <c r="HQ80" s="1"/>
      <c r="HR80" s="1"/>
      <c r="HS80" s="1"/>
      <c r="HT80" s="1"/>
      <c r="HU80" s="1"/>
      <c r="HV80" s="1"/>
      <c r="HW80" s="1"/>
      <c r="HX80" s="1"/>
      <c r="HY80" s="1"/>
      <c r="HZ80" s="1"/>
      <c r="IA80" s="1"/>
      <c r="IB80" s="1"/>
      <c r="IC80" s="1"/>
      <c r="ID80" s="1"/>
      <c r="IE80" s="1"/>
      <c r="IF80" s="1"/>
      <c r="IG80" s="1"/>
      <c r="IH80" s="1"/>
      <c r="II80" s="1"/>
      <c r="IJ80" s="1"/>
      <c r="IK80" s="1"/>
      <c r="IL80" s="1"/>
      <c r="IM80" s="1"/>
      <c r="IN80" s="1"/>
      <c r="IO80" s="1"/>
      <c r="IP80" s="1"/>
      <c r="IQ80" s="1"/>
      <c r="IR80" s="1"/>
      <c r="IS80" s="1"/>
      <c r="IT80" s="1"/>
      <c r="IU80" s="1"/>
      <c r="IV80" s="1"/>
      <c r="IW80" s="1"/>
      <c r="IX80" s="1"/>
      <c r="IY80" s="1"/>
      <c r="IZ80" s="1"/>
      <c r="JA80" s="1"/>
      <c r="JB80" s="1"/>
      <c r="JC80" s="1"/>
      <c r="JD80" s="1"/>
      <c r="JE80" s="1"/>
      <c r="JF80" s="1"/>
      <c r="JG80" s="1"/>
      <c r="JH80" s="1"/>
      <c r="JI80" s="1"/>
      <c r="JJ80" s="1"/>
      <c r="JK80" s="1"/>
      <c r="JL80" s="1"/>
      <c r="JM80" s="1"/>
      <c r="JN80" s="1"/>
      <c r="JO80" s="1"/>
      <c r="JP80" s="1"/>
      <c r="JQ80" s="1"/>
      <c r="JR80" s="1"/>
      <c r="JS80" s="1"/>
      <c r="JT80" s="1"/>
      <c r="JU80" s="1"/>
      <c r="JV80" s="1"/>
      <c r="JW80" s="1"/>
      <c r="JX80" s="1"/>
      <c r="JY80" s="1"/>
      <c r="JZ80" s="1"/>
      <c r="KA80" s="1"/>
      <c r="KB80" s="1"/>
      <c r="KC80" s="1"/>
      <c r="KD80" s="1"/>
      <c r="KE80" s="1"/>
      <c r="KF80" s="1"/>
      <c r="KG80" s="1"/>
      <c r="KH80" s="1"/>
      <c r="KI80" s="1"/>
      <c r="KJ80" s="1"/>
      <c r="KK80" s="1"/>
      <c r="KL80" s="1"/>
      <c r="KM80" s="1"/>
      <c r="KN80" s="1"/>
      <c r="KO80" s="1"/>
      <c r="KP80" s="1"/>
      <c r="KQ80" s="1"/>
      <c r="KR80" s="1"/>
      <c r="KS80" s="1"/>
      <c r="KT80" s="1"/>
      <c r="KU80" s="1"/>
      <c r="KV80" s="1"/>
      <c r="KW80" s="1"/>
      <c r="KX80" s="1"/>
      <c r="KY80" s="1"/>
      <c r="KZ80" s="1"/>
      <c r="LA80" s="1"/>
      <c r="LB80" s="1"/>
      <c r="LC80" s="1"/>
      <c r="LD80" s="1"/>
      <c r="LE80" s="1"/>
      <c r="LF80" s="1"/>
      <c r="LG80" s="1"/>
      <c r="LH80" s="1"/>
      <c r="LI80" s="1"/>
      <c r="LJ80" s="1"/>
      <c r="LK80" s="1"/>
      <c r="LL80" s="1"/>
      <c r="LM80" s="1"/>
      <c r="LN80" s="1"/>
      <c r="LO80" s="1"/>
      <c r="LP80" s="1"/>
      <c r="LQ80" s="1"/>
      <c r="LR80" s="1"/>
      <c r="LS80" s="1"/>
      <c r="LT80" s="1"/>
      <c r="LU80" s="1"/>
      <c r="LV80" s="1"/>
      <c r="LW80" s="1"/>
      <c r="LX80" s="1"/>
      <c r="LY80" s="1"/>
      <c r="LZ80" s="1"/>
      <c r="MA80" s="1"/>
      <c r="MB80" s="1"/>
      <c r="MC80" s="1"/>
      <c r="MD80" s="1"/>
      <c r="ME80" s="1"/>
      <c r="MF80" s="1"/>
      <c r="MG80" s="1"/>
      <c r="MH80" s="1"/>
      <c r="MI80" s="1"/>
      <c r="MJ80" s="1"/>
      <c r="MK80" s="1"/>
      <c r="ML80" s="1"/>
      <c r="MM80" s="1"/>
      <c r="MN80" s="1"/>
      <c r="MO80" s="1"/>
      <c r="MP80" s="1"/>
      <c r="MQ80" s="1"/>
      <c r="MR80" s="1"/>
      <c r="MS80" s="1"/>
      <c r="MT80" s="1"/>
      <c r="MU80" s="1"/>
      <c r="MV80" s="1"/>
      <c r="MW80" s="1"/>
      <c r="MX80" s="1"/>
      <c r="MY80" s="1"/>
      <c r="MZ80" s="1" t="s">
        <v>37</v>
      </c>
      <c r="NA80" s="1"/>
      <c r="NB80" s="1"/>
      <c r="NC80" s="1"/>
      <c r="ND80" s="1"/>
      <c r="NE80" s="1"/>
      <c r="NF80" s="1"/>
      <c r="NG80" s="1"/>
      <c r="NH80" s="1"/>
      <c r="NI80" s="1"/>
      <c r="NK80" s="18">
        <f t="array" aca="1" ref="NK80" ca="1">SUMPRODUCT((OFFSET($A80,0,1,1,372)&lt;&gt;"")*(IF(OFFSET($A80,0,1,1,372)=$NX$16,0.5,IF(OFFSET($A80,0,1,1,372)=$NX$17,0.5,1))*(OFFSET($A$3,0,1,1,372))))</f>
        <v>1</v>
      </c>
      <c r="NL80" s="23">
        <f t="shared" ca="1" si="11"/>
        <v>0</v>
      </c>
      <c r="NM80" s="23">
        <f t="shared" ca="1" si="11"/>
        <v>0</v>
      </c>
      <c r="NN80" s="23">
        <f t="shared" ca="1" si="11"/>
        <v>0</v>
      </c>
      <c r="NO80" s="23">
        <f t="shared" ca="1" si="11"/>
        <v>1</v>
      </c>
      <c r="NP80" s="23">
        <f t="shared" ca="1" si="11"/>
        <v>0</v>
      </c>
      <c r="NQ80" s="23">
        <f t="shared" ca="1" si="10"/>
        <v>0</v>
      </c>
      <c r="NR80" s="23">
        <f t="shared" ca="1" si="10"/>
        <v>0</v>
      </c>
      <c r="NS80" s="23">
        <f t="shared" ca="1" si="10"/>
        <v>0</v>
      </c>
      <c r="NT80" s="23">
        <f t="shared" ca="1" si="10"/>
        <v>0</v>
      </c>
      <c r="NU80" s="23">
        <f t="shared" ca="1" si="10"/>
        <v>0</v>
      </c>
    </row>
    <row r="81" spans="1:385" x14ac:dyDescent="0.25">
      <c r="A81" s="1" t="s">
        <v>133</v>
      </c>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c r="FW81" s="1"/>
      <c r="FX81" s="1"/>
      <c r="FY81" s="1"/>
      <c r="FZ81" s="1"/>
      <c r="GA81" s="1"/>
      <c r="GB81" s="1"/>
      <c r="GC81" s="1"/>
      <c r="GD81" s="1"/>
      <c r="GE81" s="1"/>
      <c r="GF81" s="1"/>
      <c r="GG81" s="1"/>
      <c r="GH81" s="1"/>
      <c r="GI81" s="1"/>
      <c r="GJ81" s="1"/>
      <c r="GK81" s="1"/>
      <c r="GL81" s="1"/>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1"/>
      <c r="HQ81" s="1"/>
      <c r="HR81" s="1"/>
      <c r="HS81" s="1"/>
      <c r="HT81" s="1"/>
      <c r="HU81" s="1"/>
      <c r="HV81" s="1"/>
      <c r="HW81" s="1"/>
      <c r="HX81" s="1"/>
      <c r="HY81" s="1"/>
      <c r="HZ81" s="1"/>
      <c r="IA81" s="1"/>
      <c r="IB81" s="1"/>
      <c r="IC81" s="1"/>
      <c r="ID81" s="1"/>
      <c r="IE81" s="1"/>
      <c r="IF81" s="1"/>
      <c r="IG81" s="1"/>
      <c r="IH81" s="1"/>
      <c r="II81" s="1"/>
      <c r="IJ81" s="1"/>
      <c r="IK81" s="1"/>
      <c r="IL81" s="1"/>
      <c r="IM81" s="1"/>
      <c r="IN81" s="1"/>
      <c r="IO81" s="1"/>
      <c r="IP81" s="1"/>
      <c r="IQ81" s="1"/>
      <c r="IR81" s="1"/>
      <c r="IS81" s="1"/>
      <c r="IT81" s="1"/>
      <c r="IU81" s="1"/>
      <c r="IV81" s="1"/>
      <c r="IW81" s="1"/>
      <c r="IX81" s="1"/>
      <c r="IY81" s="1"/>
      <c r="IZ81" s="1"/>
      <c r="JA81" s="1"/>
      <c r="JB81" s="1"/>
      <c r="JC81" s="1"/>
      <c r="JD81" s="1"/>
      <c r="JE81" s="1"/>
      <c r="JF81" s="1"/>
      <c r="JG81" s="1"/>
      <c r="JH81" s="1"/>
      <c r="JI81" s="1"/>
      <c r="JJ81" s="1"/>
      <c r="JK81" s="1"/>
      <c r="JL81" s="1"/>
      <c r="JM81" s="1"/>
      <c r="JN81" s="1"/>
      <c r="JO81" s="1"/>
      <c r="JP81" s="1"/>
      <c r="JQ81" s="1"/>
      <c r="JR81" s="1"/>
      <c r="JS81" s="1"/>
      <c r="JT81" s="1"/>
      <c r="JU81" s="1"/>
      <c r="JV81" s="1"/>
      <c r="JW81" s="1"/>
      <c r="JX81" s="1"/>
      <c r="JY81" s="1"/>
      <c r="JZ81" s="1"/>
      <c r="KA81" s="1"/>
      <c r="KB81" s="1"/>
      <c r="KC81" s="1"/>
      <c r="KD81" s="1"/>
      <c r="KE81" s="1"/>
      <c r="KF81" s="1"/>
      <c r="KG81" s="1"/>
      <c r="KH81" s="1"/>
      <c r="KI81" s="1"/>
      <c r="KJ81" s="1"/>
      <c r="KK81" s="1"/>
      <c r="KL81" s="1"/>
      <c r="KM81" s="1"/>
      <c r="KN81" s="1"/>
      <c r="KO81" s="1"/>
      <c r="KP81" s="1"/>
      <c r="KQ81" s="1"/>
      <c r="KR81" s="1"/>
      <c r="KS81" s="1"/>
      <c r="KT81" s="1"/>
      <c r="KU81" s="1"/>
      <c r="KV81" s="1"/>
      <c r="KW81" s="1"/>
      <c r="KX81" s="1"/>
      <c r="KY81" s="1"/>
      <c r="KZ81" s="1"/>
      <c r="LA81" s="1"/>
      <c r="LB81" s="1"/>
      <c r="LC81" s="1"/>
      <c r="LD81" s="1"/>
      <c r="LE81" s="1"/>
      <c r="LF81" s="1"/>
      <c r="LG81" s="1"/>
      <c r="LH81" s="1"/>
      <c r="LI81" s="1"/>
      <c r="LJ81" s="1"/>
      <c r="LK81" s="1"/>
      <c r="LL81" s="1"/>
      <c r="LM81" s="1"/>
      <c r="LN81" s="1"/>
      <c r="LO81" s="1"/>
      <c r="LP81" s="1"/>
      <c r="LQ81" s="1"/>
      <c r="LR81" s="1"/>
      <c r="LS81" s="1"/>
      <c r="LT81" s="1"/>
      <c r="LU81" s="1"/>
      <c r="LV81" s="1"/>
      <c r="LW81" s="1"/>
      <c r="LX81" s="1"/>
      <c r="LY81" s="1"/>
      <c r="LZ81" s="1"/>
      <c r="MA81" s="1"/>
      <c r="MB81" s="1"/>
      <c r="MC81" s="1"/>
      <c r="MD81" s="1"/>
      <c r="ME81" s="1"/>
      <c r="MF81" s="1"/>
      <c r="MG81" s="1"/>
      <c r="MH81" s="1"/>
      <c r="MI81" s="1"/>
      <c r="MJ81" s="1"/>
      <c r="MK81" s="1"/>
      <c r="ML81" s="1"/>
      <c r="MM81" s="1"/>
      <c r="MN81" s="1"/>
      <c r="MO81" s="1"/>
      <c r="MP81" s="1"/>
      <c r="MQ81" s="1"/>
      <c r="MR81" s="1"/>
      <c r="MS81" s="1"/>
      <c r="MT81" s="1"/>
      <c r="MU81" s="1"/>
      <c r="MV81" s="1"/>
      <c r="MW81" s="1"/>
      <c r="MX81" s="1"/>
      <c r="MY81" s="1"/>
      <c r="MZ81" s="1" t="s">
        <v>37</v>
      </c>
      <c r="NA81" s="1"/>
      <c r="NB81" s="1"/>
      <c r="NC81" s="1"/>
      <c r="ND81" s="1"/>
      <c r="NE81" s="1"/>
      <c r="NF81" s="1"/>
      <c r="NG81" s="1"/>
      <c r="NH81" s="1"/>
      <c r="NI81" s="1"/>
      <c r="NK81" s="18">
        <f t="array" aca="1" ref="NK81" ca="1">SUMPRODUCT((OFFSET($A81,0,1,1,372)&lt;&gt;"")*(IF(OFFSET($A81,0,1,1,372)=$NX$16,0.5,IF(OFFSET($A81,0,1,1,372)=$NX$17,0.5,1))*(OFFSET($A$3,0,1,1,372))))</f>
        <v>1</v>
      </c>
      <c r="NL81" s="23">
        <f t="shared" ca="1" si="11"/>
        <v>0</v>
      </c>
      <c r="NM81" s="23">
        <f t="shared" ca="1" si="11"/>
        <v>0</v>
      </c>
      <c r="NN81" s="23">
        <f t="shared" ca="1" si="11"/>
        <v>0</v>
      </c>
      <c r="NO81" s="23">
        <f t="shared" ca="1" si="11"/>
        <v>1</v>
      </c>
      <c r="NP81" s="23">
        <f t="shared" ca="1" si="11"/>
        <v>0</v>
      </c>
      <c r="NQ81" s="23">
        <f t="shared" ca="1" si="10"/>
        <v>0</v>
      </c>
      <c r="NR81" s="23">
        <f t="shared" ca="1" si="10"/>
        <v>0</v>
      </c>
      <c r="NS81" s="23">
        <f t="shared" ca="1" si="10"/>
        <v>0</v>
      </c>
      <c r="NT81" s="23">
        <f t="shared" ca="1" si="10"/>
        <v>0</v>
      </c>
      <c r="NU81" s="23">
        <f t="shared" ca="1" si="10"/>
        <v>0</v>
      </c>
    </row>
    <row r="82" spans="1:385" x14ac:dyDescent="0.25">
      <c r="A82" s="1" t="s">
        <v>134</v>
      </c>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c r="FW82" s="1"/>
      <c r="FX82" s="1"/>
      <c r="FY82" s="1"/>
      <c r="FZ82" s="1"/>
      <c r="GA82" s="1"/>
      <c r="GB82" s="1"/>
      <c r="GC82" s="1"/>
      <c r="GD82" s="1"/>
      <c r="GE82" s="1"/>
      <c r="GF82" s="1"/>
      <c r="GG82" s="1"/>
      <c r="GH82" s="1"/>
      <c r="GI82" s="1"/>
      <c r="GJ82" s="1"/>
      <c r="GK82" s="1"/>
      <c r="GL82" s="1"/>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1"/>
      <c r="HQ82" s="1"/>
      <c r="HR82" s="1"/>
      <c r="HS82" s="1"/>
      <c r="HT82" s="1"/>
      <c r="HU82" s="1"/>
      <c r="HV82" s="1"/>
      <c r="HW82" s="1"/>
      <c r="HX82" s="1"/>
      <c r="HY82" s="1"/>
      <c r="HZ82" s="1"/>
      <c r="IA82" s="1"/>
      <c r="IB82" s="1"/>
      <c r="IC82" s="1"/>
      <c r="ID82" s="1"/>
      <c r="IE82" s="1"/>
      <c r="IF82" s="1"/>
      <c r="IG82" s="1"/>
      <c r="IH82" s="1"/>
      <c r="II82" s="1"/>
      <c r="IJ82" s="1"/>
      <c r="IK82" s="1"/>
      <c r="IL82" s="1"/>
      <c r="IM82" s="1"/>
      <c r="IN82" s="1"/>
      <c r="IO82" s="1"/>
      <c r="IP82" s="1"/>
      <c r="IQ82" s="1"/>
      <c r="IR82" s="1"/>
      <c r="IS82" s="1"/>
      <c r="IT82" s="1"/>
      <c r="IU82" s="1"/>
      <c r="IV82" s="1"/>
      <c r="IW82" s="1"/>
      <c r="IX82" s="1"/>
      <c r="IY82" s="1"/>
      <c r="IZ82" s="1"/>
      <c r="JA82" s="1"/>
      <c r="JB82" s="1"/>
      <c r="JC82" s="1"/>
      <c r="JD82" s="1"/>
      <c r="JE82" s="1"/>
      <c r="JF82" s="1"/>
      <c r="JG82" s="1"/>
      <c r="JH82" s="1"/>
      <c r="JI82" s="1"/>
      <c r="JJ82" s="1"/>
      <c r="JK82" s="1"/>
      <c r="JL82" s="1"/>
      <c r="JM82" s="1"/>
      <c r="JN82" s="1"/>
      <c r="JO82" s="1"/>
      <c r="JP82" s="1"/>
      <c r="JQ82" s="1"/>
      <c r="JR82" s="1"/>
      <c r="JS82" s="1"/>
      <c r="JT82" s="1"/>
      <c r="JU82" s="1"/>
      <c r="JV82" s="1"/>
      <c r="JW82" s="1"/>
      <c r="JX82" s="1"/>
      <c r="JY82" s="1"/>
      <c r="JZ82" s="1"/>
      <c r="KA82" s="1"/>
      <c r="KB82" s="1"/>
      <c r="KC82" s="1"/>
      <c r="KD82" s="1"/>
      <c r="KE82" s="1"/>
      <c r="KF82" s="1"/>
      <c r="KG82" s="1"/>
      <c r="KH82" s="1"/>
      <c r="KI82" s="1"/>
      <c r="KJ82" s="1"/>
      <c r="KK82" s="1"/>
      <c r="KL82" s="1"/>
      <c r="KM82" s="1"/>
      <c r="KN82" s="1"/>
      <c r="KO82" s="1"/>
      <c r="KP82" s="1"/>
      <c r="KQ82" s="1"/>
      <c r="KR82" s="1"/>
      <c r="KS82" s="1"/>
      <c r="KT82" s="1"/>
      <c r="KU82" s="1"/>
      <c r="KV82" s="1"/>
      <c r="KW82" s="1"/>
      <c r="KX82" s="1"/>
      <c r="KY82" s="1"/>
      <c r="KZ82" s="1"/>
      <c r="LA82" s="1"/>
      <c r="LB82" s="1"/>
      <c r="LC82" s="1"/>
      <c r="LD82" s="1"/>
      <c r="LE82" s="1"/>
      <c r="LF82" s="1"/>
      <c r="LG82" s="1"/>
      <c r="LH82" s="1"/>
      <c r="LI82" s="1"/>
      <c r="LJ82" s="1"/>
      <c r="LK82" s="1"/>
      <c r="LL82" s="1"/>
      <c r="LM82" s="1"/>
      <c r="LN82" s="1"/>
      <c r="LO82" s="1"/>
      <c r="LP82" s="1"/>
      <c r="LQ82" s="1"/>
      <c r="LR82" s="1"/>
      <c r="LS82" s="1"/>
      <c r="LT82" s="1"/>
      <c r="LU82" s="1"/>
      <c r="LV82" s="1"/>
      <c r="LW82" s="1"/>
      <c r="LX82" s="1"/>
      <c r="LY82" s="1"/>
      <c r="LZ82" s="1"/>
      <c r="MA82" s="1"/>
      <c r="MB82" s="1"/>
      <c r="MC82" s="1"/>
      <c r="MD82" s="1"/>
      <c r="ME82" s="1"/>
      <c r="MF82" s="1"/>
      <c r="MG82" s="1"/>
      <c r="MH82" s="1"/>
      <c r="MI82" s="1"/>
      <c r="MJ82" s="1"/>
      <c r="MK82" s="1"/>
      <c r="ML82" s="1"/>
      <c r="MM82" s="1"/>
      <c r="MN82" s="1"/>
      <c r="MO82" s="1"/>
      <c r="MP82" s="1"/>
      <c r="MQ82" s="1"/>
      <c r="MR82" s="1"/>
      <c r="MS82" s="1"/>
      <c r="MT82" s="1"/>
      <c r="MU82" s="1"/>
      <c r="MV82" s="1"/>
      <c r="MW82" s="1"/>
      <c r="MX82" s="1"/>
      <c r="MY82" s="1"/>
      <c r="MZ82" s="1" t="s">
        <v>37</v>
      </c>
      <c r="NA82" s="1"/>
      <c r="NB82" s="1"/>
      <c r="NC82" s="1"/>
      <c r="ND82" s="1"/>
      <c r="NE82" s="1"/>
      <c r="NF82" s="1"/>
      <c r="NG82" s="1"/>
      <c r="NH82" s="1"/>
      <c r="NI82" s="1"/>
      <c r="NK82" s="18">
        <f t="array" aca="1" ref="NK82" ca="1">SUMPRODUCT((OFFSET($A82,0,1,1,372)&lt;&gt;"")*(IF(OFFSET($A82,0,1,1,372)=$NX$16,0.5,IF(OFFSET($A82,0,1,1,372)=$NX$17,0.5,1))*(OFFSET($A$3,0,1,1,372))))</f>
        <v>1</v>
      </c>
      <c r="NL82" s="23">
        <f t="shared" ca="1" si="11"/>
        <v>0</v>
      </c>
      <c r="NM82" s="23">
        <f t="shared" ca="1" si="11"/>
        <v>0</v>
      </c>
      <c r="NN82" s="23">
        <f t="shared" ca="1" si="11"/>
        <v>0</v>
      </c>
      <c r="NO82" s="23">
        <f t="shared" ca="1" si="11"/>
        <v>1</v>
      </c>
      <c r="NP82" s="23">
        <f t="shared" ca="1" si="11"/>
        <v>0</v>
      </c>
      <c r="NQ82" s="23">
        <f t="shared" ca="1" si="10"/>
        <v>0</v>
      </c>
      <c r="NR82" s="23">
        <f t="shared" ca="1" si="10"/>
        <v>0</v>
      </c>
      <c r="NS82" s="23">
        <f t="shared" ca="1" si="10"/>
        <v>0</v>
      </c>
      <c r="NT82" s="23">
        <f t="shared" ca="1" si="10"/>
        <v>0</v>
      </c>
      <c r="NU82" s="23">
        <f t="shared" ca="1" si="10"/>
        <v>0</v>
      </c>
    </row>
    <row r="83" spans="1:385" x14ac:dyDescent="0.25">
      <c r="A83" s="1" t="s">
        <v>135</v>
      </c>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c r="GF83" s="1"/>
      <c r="GG83" s="1"/>
      <c r="GH83" s="1"/>
      <c r="GI83" s="1"/>
      <c r="GJ83" s="1"/>
      <c r="GK83" s="1"/>
      <c r="GL83" s="1"/>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1"/>
      <c r="HQ83" s="1"/>
      <c r="HR83" s="1"/>
      <c r="HS83" s="1"/>
      <c r="HT83" s="1"/>
      <c r="HU83" s="1"/>
      <c r="HV83" s="1"/>
      <c r="HW83" s="1"/>
      <c r="HX83" s="1"/>
      <c r="HY83" s="1"/>
      <c r="HZ83" s="1"/>
      <c r="IA83" s="1"/>
      <c r="IB83" s="1"/>
      <c r="IC83" s="1"/>
      <c r="ID83" s="1"/>
      <c r="IE83" s="1"/>
      <c r="IF83" s="1"/>
      <c r="IG83" s="1"/>
      <c r="IH83" s="1"/>
      <c r="II83" s="1"/>
      <c r="IJ83" s="1"/>
      <c r="IK83" s="1"/>
      <c r="IL83" s="1"/>
      <c r="IM83" s="1"/>
      <c r="IN83" s="1"/>
      <c r="IO83" s="1"/>
      <c r="IP83" s="1"/>
      <c r="IQ83" s="1"/>
      <c r="IR83" s="1"/>
      <c r="IS83" s="1"/>
      <c r="IT83" s="1"/>
      <c r="IU83" s="1"/>
      <c r="IV83" s="1"/>
      <c r="IW83" s="1"/>
      <c r="IX83" s="1"/>
      <c r="IY83" s="1"/>
      <c r="IZ83" s="1"/>
      <c r="JA83" s="1"/>
      <c r="JB83" s="1"/>
      <c r="JC83" s="1"/>
      <c r="JD83" s="1"/>
      <c r="JE83" s="1"/>
      <c r="JF83" s="1"/>
      <c r="JG83" s="1"/>
      <c r="JH83" s="1"/>
      <c r="JI83" s="1"/>
      <c r="JJ83" s="1"/>
      <c r="JK83" s="1"/>
      <c r="JL83" s="1"/>
      <c r="JM83" s="1"/>
      <c r="JN83" s="1"/>
      <c r="JO83" s="1"/>
      <c r="JP83" s="1"/>
      <c r="JQ83" s="1"/>
      <c r="JR83" s="1"/>
      <c r="JS83" s="1"/>
      <c r="JT83" s="1"/>
      <c r="JU83" s="1"/>
      <c r="JV83" s="1"/>
      <c r="JW83" s="1"/>
      <c r="JX83" s="1"/>
      <c r="JY83" s="1"/>
      <c r="JZ83" s="1"/>
      <c r="KA83" s="1"/>
      <c r="KB83" s="1"/>
      <c r="KC83" s="1"/>
      <c r="KD83" s="1"/>
      <c r="KE83" s="1"/>
      <c r="KF83" s="1"/>
      <c r="KG83" s="1"/>
      <c r="KH83" s="1"/>
      <c r="KI83" s="1"/>
      <c r="KJ83" s="1"/>
      <c r="KK83" s="1"/>
      <c r="KL83" s="1"/>
      <c r="KM83" s="1"/>
      <c r="KN83" s="1"/>
      <c r="KO83" s="1"/>
      <c r="KP83" s="1"/>
      <c r="KQ83" s="1"/>
      <c r="KR83" s="1"/>
      <c r="KS83" s="1"/>
      <c r="KT83" s="1"/>
      <c r="KU83" s="1"/>
      <c r="KV83" s="1"/>
      <c r="KW83" s="1"/>
      <c r="KX83" s="1"/>
      <c r="KY83" s="1"/>
      <c r="KZ83" s="1"/>
      <c r="LA83" s="1"/>
      <c r="LB83" s="1"/>
      <c r="LC83" s="1"/>
      <c r="LD83" s="1"/>
      <c r="LE83" s="1"/>
      <c r="LF83" s="1"/>
      <c r="LG83" s="1"/>
      <c r="LH83" s="1"/>
      <c r="LI83" s="1"/>
      <c r="LJ83" s="1"/>
      <c r="LK83" s="1"/>
      <c r="LL83" s="1"/>
      <c r="LM83" s="1"/>
      <c r="LN83" s="1"/>
      <c r="LO83" s="1"/>
      <c r="LP83" s="1"/>
      <c r="LQ83" s="1"/>
      <c r="LR83" s="1"/>
      <c r="LS83" s="1"/>
      <c r="LT83" s="1"/>
      <c r="LU83" s="1"/>
      <c r="LV83" s="1"/>
      <c r="LW83" s="1"/>
      <c r="LX83" s="1"/>
      <c r="LY83" s="1"/>
      <c r="LZ83" s="1"/>
      <c r="MA83" s="1"/>
      <c r="MB83" s="1"/>
      <c r="MC83" s="1"/>
      <c r="MD83" s="1"/>
      <c r="ME83" s="1"/>
      <c r="MF83" s="1"/>
      <c r="MG83" s="1"/>
      <c r="MH83" s="1"/>
      <c r="MI83" s="1"/>
      <c r="MJ83" s="1"/>
      <c r="MK83" s="1"/>
      <c r="ML83" s="1"/>
      <c r="MM83" s="1"/>
      <c r="MN83" s="1"/>
      <c r="MO83" s="1"/>
      <c r="MP83" s="1"/>
      <c r="MQ83" s="1"/>
      <c r="MR83" s="1"/>
      <c r="MS83" s="1"/>
      <c r="MT83" s="1"/>
      <c r="MU83" s="1"/>
      <c r="MV83" s="1"/>
      <c r="MW83" s="1"/>
      <c r="MX83" s="1"/>
      <c r="MY83" s="1"/>
      <c r="MZ83" s="1" t="s">
        <v>37</v>
      </c>
      <c r="NA83" s="1"/>
      <c r="NB83" s="1"/>
      <c r="NC83" s="1"/>
      <c r="ND83" s="1"/>
      <c r="NE83" s="1"/>
      <c r="NF83" s="1"/>
      <c r="NG83" s="1"/>
      <c r="NH83" s="1"/>
      <c r="NI83" s="1"/>
      <c r="NK83" s="18">
        <f t="array" aca="1" ref="NK83" ca="1">SUMPRODUCT((OFFSET($A83,0,1,1,372)&lt;&gt;"")*(IF(OFFSET($A83,0,1,1,372)=$NX$16,0.5,IF(OFFSET($A83,0,1,1,372)=$NX$17,0.5,1))*(OFFSET($A$3,0,1,1,372))))</f>
        <v>1</v>
      </c>
      <c r="NL83" s="23">
        <f t="shared" ca="1" si="11"/>
        <v>0</v>
      </c>
      <c r="NM83" s="23">
        <f t="shared" ca="1" si="11"/>
        <v>0</v>
      </c>
      <c r="NN83" s="23">
        <f t="shared" ca="1" si="11"/>
        <v>0</v>
      </c>
      <c r="NO83" s="23">
        <f t="shared" ca="1" si="11"/>
        <v>1</v>
      </c>
      <c r="NP83" s="23">
        <f t="shared" ca="1" si="11"/>
        <v>0</v>
      </c>
      <c r="NQ83" s="23">
        <f t="shared" ca="1" si="10"/>
        <v>0</v>
      </c>
      <c r="NR83" s="23">
        <f t="shared" ca="1" si="10"/>
        <v>0</v>
      </c>
      <c r="NS83" s="23">
        <f t="shared" ca="1" si="10"/>
        <v>0</v>
      </c>
      <c r="NT83" s="23">
        <f t="shared" ca="1" si="10"/>
        <v>0</v>
      </c>
      <c r="NU83" s="23">
        <f t="shared" ca="1" si="10"/>
        <v>0</v>
      </c>
    </row>
    <row r="84" spans="1:385" x14ac:dyDescent="0.25">
      <c r="A84" s="1" t="s">
        <v>200</v>
      </c>
      <c r="ME84" s="1"/>
      <c r="MF84" s="1"/>
      <c r="MG84" s="1"/>
      <c r="MH84" s="1"/>
      <c r="MI84" s="1"/>
      <c r="MJ84" s="1"/>
      <c r="MK84" s="1"/>
      <c r="ML84" s="1"/>
      <c r="MM84" s="1"/>
      <c r="MN84" s="1"/>
      <c r="MO84" s="1"/>
      <c r="MP84" s="1"/>
      <c r="MQ84" s="1"/>
      <c r="MR84" s="1"/>
      <c r="MS84" s="1"/>
      <c r="MT84" s="1"/>
      <c r="MU84" s="1"/>
      <c r="MV84" s="1"/>
      <c r="MW84" s="1" t="s">
        <v>190</v>
      </c>
      <c r="MX84" s="1"/>
      <c r="MY84" s="1"/>
      <c r="MZ84" s="1" t="s">
        <v>37</v>
      </c>
      <c r="NA84" s="1"/>
      <c r="NB84" s="1"/>
      <c r="NC84" s="1"/>
      <c r="ND84" s="1"/>
      <c r="NE84" s="1"/>
      <c r="NF84" s="1"/>
      <c r="NG84" s="1"/>
      <c r="NH84" s="1"/>
      <c r="NI84" s="1"/>
      <c r="NK84" s="18">
        <f t="array" aca="1" ref="NK84" ca="1">SUMPRODUCT((OFFSET($A84,0,1,1,372)&lt;&gt;"")*(IF(OFFSET($A84,0,1,1,372)=$NX$16,0.5,IF(OFFSET($A84,0,1,1,372)=$NX$17,0.5,1))*(OFFSET($A$3,0,1,1,372))))</f>
        <v>2</v>
      </c>
      <c r="NL84" s="23">
        <f t="shared" ca="1" si="11"/>
        <v>0</v>
      </c>
      <c r="NM84" s="23">
        <f t="shared" ca="1" si="11"/>
        <v>0</v>
      </c>
      <c r="NN84" s="23">
        <f t="shared" ca="1" si="11"/>
        <v>0</v>
      </c>
      <c r="NO84" s="23">
        <f t="shared" ca="1" si="11"/>
        <v>1</v>
      </c>
      <c r="NP84" s="23">
        <f t="shared" ca="1" si="11"/>
        <v>0</v>
      </c>
      <c r="NQ84" s="23">
        <f t="shared" ca="1" si="10"/>
        <v>0</v>
      </c>
      <c r="NR84" s="23">
        <f t="shared" ca="1" si="10"/>
        <v>0</v>
      </c>
      <c r="NS84" s="23">
        <f t="shared" ca="1" si="10"/>
        <v>0</v>
      </c>
      <c r="NT84" s="23">
        <f t="shared" ca="1" si="10"/>
        <v>0</v>
      </c>
      <c r="NU84" s="23">
        <f t="shared" ca="1" si="10"/>
        <v>0</v>
      </c>
    </row>
    <row r="85" spans="1:385" x14ac:dyDescent="0.25">
      <c r="A85" s="1" t="s">
        <v>201</v>
      </c>
      <c r="ME85" s="1"/>
      <c r="MF85" s="1"/>
      <c r="MG85" s="1"/>
      <c r="MH85" s="1"/>
      <c r="MI85" s="1"/>
      <c r="MJ85" s="1"/>
      <c r="MK85" s="1"/>
      <c r="ML85" s="1"/>
      <c r="MM85" s="1"/>
      <c r="MN85" s="1"/>
      <c r="MO85" s="1"/>
      <c r="MP85" s="1"/>
      <c r="MQ85" s="1"/>
      <c r="MR85" s="1"/>
      <c r="MS85" s="1"/>
      <c r="MT85" s="1"/>
      <c r="MU85" s="1"/>
      <c r="MV85" s="1"/>
      <c r="MW85" s="1"/>
      <c r="MX85" s="1"/>
      <c r="MY85" s="1"/>
      <c r="MZ85" s="1" t="s">
        <v>37</v>
      </c>
      <c r="NA85" s="1"/>
      <c r="NB85" s="1"/>
      <c r="NC85" s="1"/>
      <c r="ND85" s="1"/>
      <c r="NE85" s="1"/>
      <c r="NF85" s="1"/>
      <c r="NG85" s="1"/>
      <c r="NH85" s="1"/>
      <c r="NI85" s="1"/>
      <c r="NK85" s="18">
        <f t="array" aca="1" ref="NK85" ca="1">SUMPRODUCT((OFFSET($A85,0,1,1,372)&lt;&gt;"")*(IF(OFFSET($A85,0,1,1,372)=$NX$16,0.5,IF(OFFSET($A85,0,1,1,372)=$NX$17,0.5,1))*(OFFSET($A$3,0,1,1,372))))</f>
        <v>1</v>
      </c>
      <c r="NL85" s="23">
        <f t="shared" ca="1" si="11"/>
        <v>0</v>
      </c>
      <c r="NM85" s="23">
        <f t="shared" ca="1" si="11"/>
        <v>0</v>
      </c>
      <c r="NN85" s="23">
        <f t="shared" ca="1" si="11"/>
        <v>0</v>
      </c>
      <c r="NO85" s="23">
        <f t="shared" ca="1" si="11"/>
        <v>1</v>
      </c>
      <c r="NP85" s="23">
        <f t="shared" ca="1" si="11"/>
        <v>0</v>
      </c>
      <c r="NQ85" s="23">
        <f t="shared" ca="1" si="10"/>
        <v>0</v>
      </c>
      <c r="NR85" s="23">
        <f t="shared" ca="1" si="10"/>
        <v>0</v>
      </c>
      <c r="NS85" s="23">
        <f t="shared" ca="1" si="10"/>
        <v>0</v>
      </c>
      <c r="NT85" s="23">
        <f t="shared" ca="1" si="10"/>
        <v>0</v>
      </c>
      <c r="NU85" s="23">
        <f t="shared" ca="1" si="10"/>
        <v>0</v>
      </c>
    </row>
  </sheetData>
  <mergeCells count="11">
    <mergeCell ref="NQ5:NQ6"/>
    <mergeCell ref="NR5:NR6"/>
    <mergeCell ref="NS5:NS6"/>
    <mergeCell ref="NT5:NT6"/>
    <mergeCell ref="NU5:NU6"/>
    <mergeCell ref="NP5:NP6"/>
    <mergeCell ref="NK5:NK6"/>
    <mergeCell ref="NL5:NL6"/>
    <mergeCell ref="NM5:NM6"/>
    <mergeCell ref="NN5:NN6"/>
    <mergeCell ref="NO5:NO6"/>
  </mergeCells>
  <conditionalFormatting sqref="NX21:NX35">
    <cfRule type="expression" dxfId="5" priority="1">
      <formula>NX21="No"</formula>
    </cfRule>
  </conditionalFormatting>
  <conditionalFormatting sqref="B6:NJ6">
    <cfRule type="expression" dxfId="4" priority="2">
      <formula>IF(VLOOKUP(B6,$NW$21:$NX$35,2,0)="No",TRUE,FALSE)</formula>
    </cfRule>
  </conditionalFormatting>
  <conditionalFormatting sqref="B8:NJ35 ME36:NI85">
    <cfRule type="expression" dxfId="3" priority="3" stopIfTrue="1">
      <formula>AND(B$5&lt;&gt;"",VLOOKUP(B$6,$NW$21:$NX$35,2,0)&lt;&gt;"Yes")</formula>
    </cfRule>
    <cfRule type="expression" dxfId="2" priority="4" stopIfTrue="1">
      <formula>ISNUMBER(MATCH(DATE($A$2,$A$1+$A$3-1,B$5),HolidayListNamedRange,0))</formula>
    </cfRule>
    <cfRule type="expression" dxfId="1" priority="5" stopIfTrue="1">
      <formula>OR(B8=$NX$8,B8=$NX$9,B8=$NX$10,B8=$NX$11,B8=$NX$12,B8=$NX$13,B8=$NX$14,B8=$NX$15)</formula>
    </cfRule>
    <cfRule type="expression" dxfId="0" priority="6" stopIfTrue="1">
      <formula>OR(B8=$NX$16,B8=$NX$17)</formula>
    </cfRule>
  </conditionalFormatting>
  <dataValidations count="3">
    <dataValidation type="list" allowBlank="1" showInputMessage="1" showErrorMessage="1" sqref="NX21:NX35" xr:uid="{F987187A-8C4A-4302-9594-E54ADC467DF6}">
      <formula1>"Yes, No"</formula1>
    </dataValidation>
    <dataValidation type="custom" allowBlank="1" showErrorMessage="1" errorTitle="Not a Valid Date" error="This isn't a valid Date" sqref="B8:NJ35 ME36:NI85" xr:uid="{14790408-1E60-4D78-BEDE-2309D5CE55D1}">
      <formula1>B$6&lt;&gt;""</formula1>
    </dataValidation>
    <dataValidation type="list" allowBlank="1" showInputMessage="1" showErrorMessage="1" sqref="A1" xr:uid="{08C09E6D-41EF-4154-BE74-D6D49700365E}">
      <formula1>"1,2,3,4,5,6,7,8,9,10,11,12"</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I12"/>
  <sheetViews>
    <sheetView workbookViewId="0">
      <selection activeCell="G2" sqref="G2"/>
    </sheetView>
  </sheetViews>
  <sheetFormatPr defaultRowHeight="15" x14ac:dyDescent="0.25"/>
  <cols>
    <col min="7" max="7" width="10.42578125" bestFit="1" customWidth="1"/>
    <col min="9" max="9" width="9.5703125" bestFit="1" customWidth="1"/>
  </cols>
  <sheetData>
    <row r="1" spans="1:9" x14ac:dyDescent="0.25">
      <c r="A1" s="1" t="s">
        <v>19</v>
      </c>
      <c r="B1" s="1">
        <v>1</v>
      </c>
      <c r="D1">
        <v>1</v>
      </c>
      <c r="E1" t="s">
        <v>11</v>
      </c>
      <c r="G1" t="str">
        <f>INDEX($A$1:$A$12,MATCH('Beef Boning'!$A$1+'Beef Boning'!$A$3-1,Sheet3!$B$1:$B$12,0))&amp;" "&amp;'Beef Boning'!$A$2</f>
        <v>December 2025</v>
      </c>
      <c r="H1" s="5"/>
      <c r="I1" s="5"/>
    </row>
    <row r="2" spans="1:9" x14ac:dyDescent="0.25">
      <c r="A2" s="1" t="s">
        <v>0</v>
      </c>
      <c r="B2" s="1">
        <v>2</v>
      </c>
      <c r="D2">
        <v>2</v>
      </c>
      <c r="E2" t="s">
        <v>12</v>
      </c>
      <c r="G2" s="5" t="str">
        <f>INDEX($A$1:$A$12,MATCH(MONTH(DATE('Beef Boning'!$A$2,'Beef Boning'!$A$1+'Beef Boning'!$A$3-1,1)),$B$1:$B$12,0))&amp;" "&amp;YEAR(DATE('Beef Boning'!$A$2,'Beef Boning'!$A$1+'Beef Boning'!$A$3-1,1))</f>
        <v>December 2025</v>
      </c>
    </row>
    <row r="3" spans="1:9" x14ac:dyDescent="0.25">
      <c r="A3" s="1" t="s">
        <v>1</v>
      </c>
      <c r="B3" s="1">
        <v>3</v>
      </c>
      <c r="D3">
        <v>3</v>
      </c>
      <c r="E3" t="s">
        <v>13</v>
      </c>
    </row>
    <row r="4" spans="1:9" x14ac:dyDescent="0.25">
      <c r="A4" s="1" t="s">
        <v>2</v>
      </c>
      <c r="B4" s="1">
        <v>4</v>
      </c>
      <c r="D4">
        <v>4</v>
      </c>
      <c r="E4" t="s">
        <v>14</v>
      </c>
    </row>
    <row r="5" spans="1:9" x14ac:dyDescent="0.25">
      <c r="A5" s="1" t="s">
        <v>3</v>
      </c>
      <c r="B5" s="1">
        <v>5</v>
      </c>
      <c r="D5">
        <v>5</v>
      </c>
      <c r="E5" t="s">
        <v>15</v>
      </c>
    </row>
    <row r="6" spans="1:9" x14ac:dyDescent="0.25">
      <c r="A6" s="1" t="s">
        <v>4</v>
      </c>
      <c r="B6" s="1">
        <v>6</v>
      </c>
      <c r="D6">
        <v>6</v>
      </c>
      <c r="E6" t="s">
        <v>16</v>
      </c>
    </row>
    <row r="7" spans="1:9" x14ac:dyDescent="0.25">
      <c r="A7" s="1" t="s">
        <v>5</v>
      </c>
      <c r="B7" s="1">
        <v>7</v>
      </c>
      <c r="D7">
        <v>7</v>
      </c>
      <c r="E7" t="s">
        <v>17</v>
      </c>
    </row>
    <row r="8" spans="1:9" x14ac:dyDescent="0.25">
      <c r="A8" s="1" t="s">
        <v>6</v>
      </c>
      <c r="B8" s="1">
        <v>8</v>
      </c>
    </row>
    <row r="9" spans="1:9" x14ac:dyDescent="0.25">
      <c r="A9" s="1" t="s">
        <v>7</v>
      </c>
      <c r="B9" s="1">
        <v>9</v>
      </c>
    </row>
    <row r="10" spans="1:9" x14ac:dyDescent="0.25">
      <c r="A10" s="1" t="s">
        <v>8</v>
      </c>
      <c r="B10" s="1">
        <v>10</v>
      </c>
    </row>
    <row r="11" spans="1:9" x14ac:dyDescent="0.25">
      <c r="A11" s="1" t="s">
        <v>9</v>
      </c>
      <c r="B11" s="1">
        <v>11</v>
      </c>
    </row>
    <row r="12" spans="1:9" x14ac:dyDescent="0.25">
      <c r="A12" s="1" t="s">
        <v>10</v>
      </c>
      <c r="B12" s="1">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Beef Boning</vt:lpstr>
      <vt:lpstr>Holidays</vt:lpstr>
      <vt:lpstr>FAQs</vt:lpstr>
      <vt:lpstr>Lamb Boning</vt:lpstr>
      <vt:lpstr>Kill Floor</vt:lpstr>
      <vt:lpstr>Sheet3</vt:lpstr>
      <vt:lpstr>'Kill Floor'!HolidayListNamedRange</vt:lpstr>
      <vt:lpstr>'Lamb Boning'!HolidayListNamedRange</vt:lpstr>
      <vt:lpstr>HolidayListNamedRange</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ADMINIBM</dc:creator>
  <cp:lastModifiedBy>Emalyn Pinas</cp:lastModifiedBy>
  <dcterms:created xsi:type="dcterms:W3CDTF">2014-12-17T05:13:13Z</dcterms:created>
  <dcterms:modified xsi:type="dcterms:W3CDTF">2026-01-06T02:20:02Z</dcterms:modified>
</cp:coreProperties>
</file>